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njal\OneDrive - IIT Delhi\Octodo\3. Git Repos\sewerresearch\sewerresearch\venu\Files\"/>
    </mc:Choice>
  </mc:AlternateContent>
  <xr:revisionPtr revIDLastSave="0" documentId="13_ncr:1_{F65A8123-979F-4A96-8A51-C0446E20D60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put" sheetId="2" r:id="rId1"/>
    <sheet name="Results_Layout_Iter1" sheetId="6" r:id="rId2"/>
    <sheet name="Result_Hydraulic_Iter1" sheetId="4" r:id="rId3"/>
    <sheet name="Input_Iter2" sheetId="5" r:id="rId4"/>
    <sheet name="Results_Layout_Iter2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5" l="1"/>
  <c r="N69" i="5"/>
  <c r="N79" i="5"/>
  <c r="N78" i="5"/>
  <c r="N71" i="5"/>
  <c r="F14" i="4"/>
  <c r="F15" i="4"/>
  <c r="F16" i="4"/>
  <c r="F17" i="4"/>
  <c r="F13" i="4"/>
</calcChain>
</file>

<file path=xl/sharedStrings.xml><?xml version="1.0" encoding="utf-8"?>
<sst xmlns="http://schemas.openxmlformats.org/spreadsheetml/2006/main" count="1429" uniqueCount="166">
  <si>
    <t>ID</t>
  </si>
  <si>
    <t>X</t>
  </si>
  <si>
    <t>Y</t>
  </si>
  <si>
    <t>Z</t>
  </si>
  <si>
    <t>INFLOW</t>
  </si>
  <si>
    <t>v1</t>
  </si>
  <si>
    <t>v2</t>
  </si>
  <si>
    <t>slope</t>
  </si>
  <si>
    <t>intercept</t>
  </si>
  <si>
    <t>Total computational time: 6.54 seconds</t>
  </si>
  <si>
    <t xml:space="preserve">(61, 69, 1) </t>
  </si>
  <si>
    <t xml:space="preserve">(69, 77, 2) </t>
  </si>
  <si>
    <t xml:space="preserve">(77, 78, 2) </t>
  </si>
  <si>
    <t xml:space="preserve">(68, 75, 1) </t>
  </si>
  <si>
    <t xml:space="preserve">(75, 77, 2) </t>
  </si>
  <si>
    <t>Qd</t>
  </si>
  <si>
    <t>Cost</t>
  </si>
  <si>
    <t xml:space="preserve">z = (0.8,-9.1 ) </t>
  </si>
  <si>
    <t xml:space="preserve">z = (-9.1,-9.15 ) </t>
  </si>
  <si>
    <t>z = (-9.15,-9.18 )</t>
  </si>
  <si>
    <t>z = (0.9,-8.95 )</t>
  </si>
  <si>
    <t>z = (-8.95,-9.1 )</t>
  </si>
  <si>
    <t xml:space="preserve">  d = 0.3</t>
  </si>
  <si>
    <t xml:space="preserve">  d = 0.2</t>
  </si>
  <si>
    <t xml:space="preserve">  d = 0.38</t>
  </si>
  <si>
    <t xml:space="preserve">  d = 0.35</t>
  </si>
  <si>
    <t>Sections</t>
  </si>
  <si>
    <t>Number</t>
  </si>
  <si>
    <t>of</t>
  </si>
  <si>
    <t>Manholes:</t>
  </si>
  <si>
    <t>Sections:</t>
  </si>
  <si>
    <t>---</t>
  </si>
  <si>
    <t>Manholes</t>
  </si>
  <si>
    <t>Manhole</t>
  </si>
  <si>
    <t>ID:</t>
  </si>
  <si>
    <t>1,</t>
  </si>
  <si>
    <t>X:</t>
  </si>
  <si>
    <t>2.0,</t>
  </si>
  <si>
    <t>Y:</t>
  </si>
  <si>
    <t>1.0,</t>
  </si>
  <si>
    <t>Z:</t>
  </si>
  <si>
    <t>2.5,</t>
  </si>
  <si>
    <t>Outlet:</t>
  </si>
  <si>
    <t>2,</t>
  </si>
  <si>
    <t>4.0,</t>
  </si>
  <si>
    <t>2.6,</t>
  </si>
  <si>
    <t>3,</t>
  </si>
  <si>
    <t>5.7,</t>
  </si>
  <si>
    <t>2.7,</t>
  </si>
  <si>
    <t>4,</t>
  </si>
  <si>
    <t>7.0,</t>
  </si>
  <si>
    <t>2.8,</t>
  </si>
  <si>
    <t>5,</t>
  </si>
  <si>
    <t>6,</t>
  </si>
  <si>
    <t>5.0,</t>
  </si>
  <si>
    <t>7,</t>
  </si>
  <si>
    <t>3.0,</t>
  </si>
  <si>
    <t>2.3,</t>
  </si>
  <si>
    <t>8,</t>
  </si>
  <si>
    <t>9,</t>
  </si>
  <si>
    <t>2.9,</t>
  </si>
  <si>
    <t>10,</t>
  </si>
  <si>
    <t>2.85,</t>
  </si>
  <si>
    <t>11,</t>
  </si>
  <si>
    <t>12,</t>
  </si>
  <si>
    <t>6.0,</t>
  </si>
  <si>
    <t>13,</t>
  </si>
  <si>
    <t>2.2,</t>
  </si>
  <si>
    <t>14,</t>
  </si>
  <si>
    <t>2.4,</t>
  </si>
  <si>
    <t>15,</t>
  </si>
  <si>
    <t>16,</t>
  </si>
  <si>
    <t>17,</t>
  </si>
  <si>
    <t>18,</t>
  </si>
  <si>
    <t>19,</t>
  </si>
  <si>
    <t>20,</t>
  </si>
  <si>
    <t>21,</t>
  </si>
  <si>
    <t>2.45,</t>
  </si>
  <si>
    <t>22,</t>
  </si>
  <si>
    <t>23,</t>
  </si>
  <si>
    <t>2.35,</t>
  </si>
  <si>
    <t>24,</t>
  </si>
  <si>
    <t>25,</t>
  </si>
  <si>
    <t>2.1,</t>
  </si>
  <si>
    <t>26,</t>
  </si>
  <si>
    <t>27,</t>
  </si>
  <si>
    <t>28,</t>
  </si>
  <si>
    <t>2.25,</t>
  </si>
  <si>
    <t>29,</t>
  </si>
  <si>
    <t>30,</t>
  </si>
  <si>
    <t>31,</t>
  </si>
  <si>
    <t>32,</t>
  </si>
  <si>
    <t>33,</t>
  </si>
  <si>
    <t>1.95,</t>
  </si>
  <si>
    <t>34,</t>
  </si>
  <si>
    <t>35,</t>
  </si>
  <si>
    <t>36,</t>
  </si>
  <si>
    <t>1.9,</t>
  </si>
  <si>
    <t>37,</t>
  </si>
  <si>
    <t>8.0,</t>
  </si>
  <si>
    <t>2.05,</t>
  </si>
  <si>
    <t>38,</t>
  </si>
  <si>
    <t>9.0,</t>
  </si>
  <si>
    <t>39,</t>
  </si>
  <si>
    <t>40,</t>
  </si>
  <si>
    <t>41,</t>
  </si>
  <si>
    <t>42,</t>
  </si>
  <si>
    <t>43,</t>
  </si>
  <si>
    <t>44,</t>
  </si>
  <si>
    <t>45,</t>
  </si>
  <si>
    <t>10.0,</t>
  </si>
  <si>
    <t>46,</t>
  </si>
  <si>
    <t>47,</t>
  </si>
  <si>
    <t>48,</t>
  </si>
  <si>
    <t>49,</t>
  </si>
  <si>
    <t>50,</t>
  </si>
  <si>
    <t>51,</t>
  </si>
  <si>
    <t>11.0,</t>
  </si>
  <si>
    <t>52,</t>
  </si>
  <si>
    <t>53,</t>
  </si>
  <si>
    <t>54,</t>
  </si>
  <si>
    <t>55,</t>
  </si>
  <si>
    <t>56,</t>
  </si>
  <si>
    <t>12.0,</t>
  </si>
  <si>
    <t>57,</t>
  </si>
  <si>
    <t>13.0,</t>
  </si>
  <si>
    <t>Section</t>
  </si>
  <si>
    <t>0,</t>
  </si>
  <si>
    <t>From:</t>
  </si>
  <si>
    <t>→</t>
  </si>
  <si>
    <t>To:</t>
  </si>
  <si>
    <t>Type:</t>
  </si>
  <si>
    <t>Qd:</t>
  </si>
  <si>
    <t>58,</t>
  </si>
  <si>
    <t>59,</t>
  </si>
  <si>
    <t>60,</t>
  </si>
  <si>
    <t>61,</t>
  </si>
  <si>
    <t>62,</t>
  </si>
  <si>
    <t>63,</t>
  </si>
  <si>
    <t>64,</t>
  </si>
  <si>
    <t>65,</t>
  </si>
  <si>
    <t>66,</t>
  </si>
  <si>
    <t>67,</t>
  </si>
  <si>
    <t>68,</t>
  </si>
  <si>
    <t>69,</t>
  </si>
  <si>
    <t>70,</t>
  </si>
  <si>
    <t>71,</t>
  </si>
  <si>
    <t>72,</t>
  </si>
  <si>
    <t>73,</t>
  </si>
  <si>
    <t>74,</t>
  </si>
  <si>
    <t>75,</t>
  </si>
  <si>
    <t>76,</t>
  </si>
  <si>
    <t>77,</t>
  </si>
  <si>
    <t>i</t>
  </si>
  <si>
    <t>j</t>
  </si>
  <si>
    <t>t</t>
  </si>
  <si>
    <t>q_ij</t>
  </si>
  <si>
    <t>cost_ij</t>
  </si>
  <si>
    <t>273545.4233247841</t>
  </si>
  <si>
    <t>794025.9881751882</t>
  </si>
  <si>
    <t>0.3400000000000002</t>
  </si>
  <si>
    <t>409972.1403986862</t>
  </si>
  <si>
    <t>0.3245000000000002</t>
  </si>
  <si>
    <t>509406.2895703747</t>
  </si>
  <si>
    <t>new_slope</t>
  </si>
  <si>
    <t>new_intercept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</si>
</sst>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272A1-8CB0-4009-886E-0CC14ED86A0C}">
  <dimension ref="A1:Q79"/>
  <sheetViews>
    <sheetView workbookViewId="0">
      <selection activeCell="L69" sqref="L69"/>
    </sheetView>
  </sheetViews>
  <sheetFormatPr defaultRowHeight="14.4" x14ac:dyDescent="0.3"/>
  <cols>
    <col min="1" max="1" width="5.88671875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7" x14ac:dyDescent="0.3">
      <c r="A2">
        <v>1</v>
      </c>
      <c r="B2" s="2">
        <v>2</v>
      </c>
      <c r="C2" s="2">
        <v>1</v>
      </c>
      <c r="D2">
        <v>2.5</v>
      </c>
      <c r="E2">
        <v>5.0000000000000001E-3</v>
      </c>
      <c r="F2">
        <v>4</v>
      </c>
      <c r="G2">
        <v>3</v>
      </c>
      <c r="H2">
        <v>3.0000000000000001E-3</v>
      </c>
      <c r="I2">
        <v>1</v>
      </c>
      <c r="O2" s="2">
        <v>1</v>
      </c>
      <c r="P2" s="2">
        <v>1</v>
      </c>
      <c r="Q2" s="2">
        <v>2</v>
      </c>
    </row>
    <row r="3" spans="1:17" x14ac:dyDescent="0.3">
      <c r="A3">
        <v>2</v>
      </c>
      <c r="B3" s="2">
        <v>4</v>
      </c>
      <c r="C3" s="2">
        <v>1</v>
      </c>
      <c r="D3">
        <v>2.6</v>
      </c>
      <c r="E3">
        <v>6.0000000000000001E-3</v>
      </c>
      <c r="F3">
        <v>1</v>
      </c>
      <c r="G3">
        <v>2</v>
      </c>
      <c r="H3">
        <v>3.0000000000000001E-3</v>
      </c>
      <c r="I3">
        <v>1</v>
      </c>
      <c r="O3" s="2">
        <v>2</v>
      </c>
      <c r="P3" s="2">
        <v>1</v>
      </c>
      <c r="Q3" s="2">
        <v>4</v>
      </c>
    </row>
    <row r="4" spans="1:17" x14ac:dyDescent="0.3">
      <c r="A4">
        <v>3</v>
      </c>
      <c r="B4" s="2">
        <v>5.7</v>
      </c>
      <c r="C4" s="2">
        <v>1</v>
      </c>
      <c r="D4">
        <v>2.7</v>
      </c>
      <c r="E4">
        <v>5.0000000000000001E-3</v>
      </c>
      <c r="F4">
        <v>2</v>
      </c>
      <c r="G4">
        <v>55</v>
      </c>
      <c r="H4">
        <v>3.8E-3</v>
      </c>
      <c r="I4">
        <v>1</v>
      </c>
      <c r="O4" s="2">
        <v>3</v>
      </c>
      <c r="P4" s="2">
        <v>1</v>
      </c>
      <c r="Q4" s="2">
        <v>5.7</v>
      </c>
    </row>
    <row r="5" spans="1:17" x14ac:dyDescent="0.3">
      <c r="A5">
        <v>4</v>
      </c>
      <c r="B5" s="2">
        <v>7</v>
      </c>
      <c r="C5" s="2">
        <v>1</v>
      </c>
      <c r="D5">
        <v>2.8</v>
      </c>
      <c r="E5">
        <v>3.0000000000000001E-3</v>
      </c>
      <c r="F5">
        <v>1</v>
      </c>
      <c r="G5">
        <v>7</v>
      </c>
      <c r="H5">
        <v>3.0000000000000001E-3</v>
      </c>
      <c r="I5">
        <v>1</v>
      </c>
      <c r="O5" s="2">
        <v>4</v>
      </c>
      <c r="P5" s="2">
        <v>1</v>
      </c>
      <c r="Q5" s="2">
        <v>7</v>
      </c>
    </row>
    <row r="6" spans="1:17" x14ac:dyDescent="0.3">
      <c r="A6">
        <v>5</v>
      </c>
      <c r="B6" s="2">
        <v>2.5</v>
      </c>
      <c r="C6" s="2">
        <v>2</v>
      </c>
      <c r="D6">
        <v>2.6</v>
      </c>
      <c r="E6">
        <v>7.0000000000000001E-3</v>
      </c>
      <c r="F6">
        <v>19</v>
      </c>
      <c r="G6">
        <v>18</v>
      </c>
      <c r="H6">
        <v>3.0000000000000001E-3</v>
      </c>
      <c r="I6">
        <v>1</v>
      </c>
      <c r="O6" s="2">
        <v>5</v>
      </c>
      <c r="P6" s="2">
        <v>2</v>
      </c>
      <c r="Q6" s="2">
        <v>2.5</v>
      </c>
    </row>
    <row r="7" spans="1:17" x14ac:dyDescent="0.3">
      <c r="A7">
        <v>6</v>
      </c>
      <c r="B7" s="2">
        <v>5</v>
      </c>
      <c r="C7" s="2">
        <v>2</v>
      </c>
      <c r="D7">
        <v>2.6</v>
      </c>
      <c r="E7">
        <v>0.01</v>
      </c>
      <c r="F7">
        <v>5</v>
      </c>
      <c r="G7">
        <v>8</v>
      </c>
      <c r="H7">
        <v>3.0000000000000001E-3</v>
      </c>
      <c r="I7">
        <v>1</v>
      </c>
      <c r="O7" s="2">
        <v>6</v>
      </c>
      <c r="P7" s="2">
        <v>2</v>
      </c>
      <c r="Q7" s="2">
        <v>5</v>
      </c>
    </row>
    <row r="8" spans="1:17" x14ac:dyDescent="0.3">
      <c r="A8">
        <v>7</v>
      </c>
      <c r="B8" s="2">
        <v>1</v>
      </c>
      <c r="C8" s="2">
        <v>3</v>
      </c>
      <c r="D8">
        <v>2.2999999999999998</v>
      </c>
      <c r="E8">
        <v>8.9999999999999993E-3</v>
      </c>
      <c r="F8">
        <v>6</v>
      </c>
      <c r="G8">
        <v>11</v>
      </c>
      <c r="H8">
        <v>2.7000000000000001E-3</v>
      </c>
      <c r="I8">
        <v>1</v>
      </c>
      <c r="O8" s="2">
        <v>7</v>
      </c>
      <c r="P8" s="2">
        <v>3</v>
      </c>
      <c r="Q8" s="2">
        <v>1</v>
      </c>
    </row>
    <row r="9" spans="1:17" x14ac:dyDescent="0.3">
      <c r="A9">
        <v>8</v>
      </c>
      <c r="B9" s="2">
        <v>2</v>
      </c>
      <c r="C9" s="2">
        <v>3</v>
      </c>
      <c r="D9">
        <v>2.5</v>
      </c>
      <c r="E9">
        <v>0.01</v>
      </c>
      <c r="F9">
        <v>7</v>
      </c>
      <c r="G9">
        <v>8</v>
      </c>
      <c r="H9">
        <v>3.0000000000000001E-3</v>
      </c>
      <c r="I9">
        <v>1</v>
      </c>
      <c r="O9" s="2">
        <v>8</v>
      </c>
      <c r="P9" s="2">
        <v>3</v>
      </c>
      <c r="Q9" s="2">
        <v>2</v>
      </c>
    </row>
    <row r="10" spans="1:17" x14ac:dyDescent="0.3">
      <c r="A10">
        <v>9</v>
      </c>
      <c r="B10" s="2">
        <v>3</v>
      </c>
      <c r="C10" s="2">
        <v>3</v>
      </c>
      <c r="D10">
        <v>2.9</v>
      </c>
      <c r="E10">
        <v>3.0000000000000001E-3</v>
      </c>
      <c r="F10">
        <v>8</v>
      </c>
      <c r="G10">
        <v>9</v>
      </c>
      <c r="H10">
        <v>2.3999999999999998E-3</v>
      </c>
      <c r="I10">
        <v>1</v>
      </c>
      <c r="O10" s="2">
        <v>9</v>
      </c>
      <c r="P10" s="2">
        <v>3</v>
      </c>
      <c r="Q10" s="2">
        <v>3</v>
      </c>
    </row>
    <row r="11" spans="1:17" x14ac:dyDescent="0.3">
      <c r="A11">
        <v>10</v>
      </c>
      <c r="B11" s="2">
        <v>4</v>
      </c>
      <c r="C11" s="2">
        <v>3</v>
      </c>
      <c r="D11">
        <v>2.85</v>
      </c>
      <c r="E11">
        <v>0.01</v>
      </c>
      <c r="F11">
        <v>9</v>
      </c>
      <c r="G11">
        <v>15</v>
      </c>
      <c r="H11">
        <v>2E-3</v>
      </c>
      <c r="I11">
        <v>1</v>
      </c>
      <c r="O11" s="2">
        <v>10</v>
      </c>
      <c r="P11" s="2">
        <v>3</v>
      </c>
      <c r="Q11" s="2">
        <v>4</v>
      </c>
    </row>
    <row r="12" spans="1:17" x14ac:dyDescent="0.3">
      <c r="A12">
        <v>11</v>
      </c>
      <c r="B12" s="2">
        <v>5</v>
      </c>
      <c r="C12" s="2">
        <v>3</v>
      </c>
      <c r="D12">
        <v>2.8</v>
      </c>
      <c r="E12">
        <v>1.7000000000000001E-2</v>
      </c>
      <c r="F12">
        <v>10</v>
      </c>
      <c r="G12">
        <v>11</v>
      </c>
      <c r="H12">
        <v>3.0000000000000001E-3</v>
      </c>
      <c r="I12">
        <v>1</v>
      </c>
      <c r="O12" s="2">
        <v>11</v>
      </c>
      <c r="P12" s="2">
        <v>3</v>
      </c>
      <c r="Q12" s="2">
        <v>5</v>
      </c>
    </row>
    <row r="13" spans="1:17" x14ac:dyDescent="0.3">
      <c r="A13">
        <v>12</v>
      </c>
      <c r="B13" s="2">
        <v>6</v>
      </c>
      <c r="C13" s="2">
        <v>3</v>
      </c>
      <c r="D13">
        <v>2.8</v>
      </c>
      <c r="E13">
        <v>4.0000000000000001E-3</v>
      </c>
      <c r="F13">
        <v>10</v>
      </c>
      <c r="G13">
        <v>55</v>
      </c>
      <c r="H13">
        <v>3.0000000000000001E-3</v>
      </c>
      <c r="I13">
        <v>1</v>
      </c>
      <c r="O13" s="2">
        <v>12</v>
      </c>
      <c r="P13" s="2">
        <v>3</v>
      </c>
      <c r="Q13" s="2">
        <v>6</v>
      </c>
    </row>
    <row r="14" spans="1:17" x14ac:dyDescent="0.3">
      <c r="A14">
        <v>13</v>
      </c>
      <c r="B14" s="2">
        <v>1</v>
      </c>
      <c r="C14" s="2">
        <v>4</v>
      </c>
      <c r="D14">
        <v>2.2000000000000002</v>
      </c>
      <c r="E14">
        <v>7.0000000000000001E-3</v>
      </c>
      <c r="F14">
        <v>3</v>
      </c>
      <c r="G14">
        <v>2</v>
      </c>
      <c r="H14">
        <v>3.0000000000000001E-3</v>
      </c>
      <c r="I14">
        <v>1</v>
      </c>
      <c r="O14" s="2">
        <v>13</v>
      </c>
      <c r="P14" s="2">
        <v>4</v>
      </c>
      <c r="Q14" s="2">
        <v>1</v>
      </c>
    </row>
    <row r="15" spans="1:17" x14ac:dyDescent="0.3">
      <c r="A15">
        <v>14</v>
      </c>
      <c r="B15" s="2">
        <v>2</v>
      </c>
      <c r="C15" s="2">
        <v>4</v>
      </c>
      <c r="D15">
        <v>2.4</v>
      </c>
      <c r="E15">
        <v>8.0000000000000002E-3</v>
      </c>
      <c r="F15">
        <v>11</v>
      </c>
      <c r="G15">
        <v>17</v>
      </c>
      <c r="H15">
        <v>1.9E-3</v>
      </c>
      <c r="I15">
        <v>1</v>
      </c>
      <c r="O15" s="2">
        <v>14</v>
      </c>
      <c r="P15" s="2">
        <v>4</v>
      </c>
      <c r="Q15" s="2">
        <v>2</v>
      </c>
    </row>
    <row r="16" spans="1:17" x14ac:dyDescent="0.3">
      <c r="A16">
        <v>15</v>
      </c>
      <c r="B16" s="2">
        <v>3</v>
      </c>
      <c r="C16" s="2">
        <v>4</v>
      </c>
      <c r="D16">
        <v>2.5</v>
      </c>
      <c r="E16">
        <v>2E-3</v>
      </c>
      <c r="F16">
        <v>12</v>
      </c>
      <c r="G16">
        <v>11</v>
      </c>
      <c r="H16">
        <v>3.0000000000000001E-3</v>
      </c>
      <c r="I16">
        <v>1</v>
      </c>
      <c r="O16" s="2">
        <v>15</v>
      </c>
      <c r="P16" s="2">
        <v>4</v>
      </c>
      <c r="Q16" s="2">
        <v>3</v>
      </c>
    </row>
    <row r="17" spans="1:17" x14ac:dyDescent="0.3">
      <c r="A17">
        <v>16</v>
      </c>
      <c r="B17" s="2">
        <v>4</v>
      </c>
      <c r="C17" s="2">
        <v>4</v>
      </c>
      <c r="D17">
        <v>2.6</v>
      </c>
      <c r="E17">
        <v>3.0000000000000001E-3</v>
      </c>
      <c r="F17">
        <v>13</v>
      </c>
      <c r="G17">
        <v>7</v>
      </c>
      <c r="H17">
        <v>3.0000000000000001E-3</v>
      </c>
      <c r="I17">
        <v>1</v>
      </c>
      <c r="O17" s="2">
        <v>16</v>
      </c>
      <c r="P17" s="2">
        <v>4</v>
      </c>
      <c r="Q17" s="2">
        <v>4</v>
      </c>
    </row>
    <row r="18" spans="1:17" x14ac:dyDescent="0.3">
      <c r="A18">
        <v>17</v>
      </c>
      <c r="B18" s="2">
        <v>5</v>
      </c>
      <c r="C18" s="2">
        <v>4</v>
      </c>
      <c r="D18">
        <v>2.6</v>
      </c>
      <c r="E18">
        <v>6.0000000000000001E-3</v>
      </c>
      <c r="F18">
        <v>13</v>
      </c>
      <c r="G18">
        <v>18</v>
      </c>
      <c r="H18">
        <v>3.0000000000000001E-3</v>
      </c>
      <c r="I18">
        <v>1</v>
      </c>
      <c r="O18" s="2">
        <v>17</v>
      </c>
      <c r="P18" s="2">
        <v>4</v>
      </c>
      <c r="Q18" s="2">
        <v>5</v>
      </c>
    </row>
    <row r="19" spans="1:17" x14ac:dyDescent="0.3">
      <c r="A19">
        <v>18</v>
      </c>
      <c r="B19" s="2">
        <v>1</v>
      </c>
      <c r="C19" s="2">
        <v>5</v>
      </c>
      <c r="D19">
        <v>2.2000000000000002</v>
      </c>
      <c r="E19">
        <v>8.0000000000000002E-3</v>
      </c>
      <c r="F19">
        <v>14</v>
      </c>
      <c r="G19">
        <v>8</v>
      </c>
      <c r="H19">
        <v>3.0000000000000001E-3</v>
      </c>
      <c r="I19">
        <v>1</v>
      </c>
      <c r="O19" s="2">
        <v>18</v>
      </c>
      <c r="P19" s="2">
        <v>5</v>
      </c>
      <c r="Q19" s="2">
        <v>1</v>
      </c>
    </row>
    <row r="20" spans="1:17" x14ac:dyDescent="0.3">
      <c r="A20">
        <v>19</v>
      </c>
      <c r="B20" s="2">
        <v>2</v>
      </c>
      <c r="C20" s="2">
        <v>5</v>
      </c>
      <c r="D20">
        <v>2.4</v>
      </c>
      <c r="E20">
        <v>6.0000000000000001E-3</v>
      </c>
      <c r="F20">
        <v>14</v>
      </c>
      <c r="G20">
        <v>19</v>
      </c>
      <c r="H20">
        <v>3.0000000000000001E-3</v>
      </c>
      <c r="I20">
        <v>1</v>
      </c>
      <c r="O20" s="2">
        <v>19</v>
      </c>
      <c r="P20" s="2">
        <v>5</v>
      </c>
      <c r="Q20" s="2">
        <v>2</v>
      </c>
    </row>
    <row r="21" spans="1:17" x14ac:dyDescent="0.3">
      <c r="A21">
        <v>20</v>
      </c>
      <c r="B21" s="2">
        <v>3</v>
      </c>
      <c r="C21" s="2">
        <v>5</v>
      </c>
      <c r="D21">
        <v>2.5</v>
      </c>
      <c r="E21">
        <v>1.0999999999999999E-2</v>
      </c>
      <c r="F21">
        <v>15</v>
      </c>
      <c r="G21">
        <v>20</v>
      </c>
      <c r="H21">
        <v>2E-3</v>
      </c>
      <c r="I21">
        <v>1</v>
      </c>
      <c r="O21" s="2">
        <v>20</v>
      </c>
      <c r="P21" s="2">
        <v>5</v>
      </c>
      <c r="Q21" s="2">
        <v>3</v>
      </c>
    </row>
    <row r="22" spans="1:17" x14ac:dyDescent="0.3">
      <c r="A22">
        <v>21</v>
      </c>
      <c r="B22" s="2">
        <v>4</v>
      </c>
      <c r="C22" s="2">
        <v>5</v>
      </c>
      <c r="D22">
        <v>2.4500000000000002</v>
      </c>
      <c r="E22">
        <v>1.2999999999999999E-2</v>
      </c>
      <c r="F22">
        <v>16</v>
      </c>
      <c r="G22">
        <v>10</v>
      </c>
      <c r="H22">
        <v>3.0000000000000001E-3</v>
      </c>
      <c r="I22">
        <v>1</v>
      </c>
      <c r="O22" s="2">
        <v>21</v>
      </c>
      <c r="P22" s="2">
        <v>5</v>
      </c>
      <c r="Q22" s="2">
        <v>4</v>
      </c>
    </row>
    <row r="23" spans="1:17" x14ac:dyDescent="0.3">
      <c r="A23">
        <v>22</v>
      </c>
      <c r="B23" s="2">
        <v>5</v>
      </c>
      <c r="C23" s="2">
        <v>5</v>
      </c>
      <c r="D23">
        <v>2.4</v>
      </c>
      <c r="E23">
        <v>1.2E-2</v>
      </c>
      <c r="F23">
        <v>19</v>
      </c>
      <c r="G23">
        <v>20</v>
      </c>
      <c r="H23">
        <v>3.0000000000000001E-3</v>
      </c>
      <c r="I23">
        <v>1</v>
      </c>
      <c r="O23" s="2">
        <v>22</v>
      </c>
      <c r="P23" s="2">
        <v>5</v>
      </c>
      <c r="Q23" s="2">
        <v>5</v>
      </c>
    </row>
    <row r="24" spans="1:17" x14ac:dyDescent="0.3">
      <c r="A24">
        <v>23</v>
      </c>
      <c r="B24" s="2">
        <v>6</v>
      </c>
      <c r="C24" s="2">
        <v>5</v>
      </c>
      <c r="D24">
        <v>2.35</v>
      </c>
      <c r="E24">
        <v>1.0999999999999999E-2</v>
      </c>
      <c r="F24">
        <v>17</v>
      </c>
      <c r="G24">
        <v>22</v>
      </c>
      <c r="H24">
        <v>3.0000000000000001E-3</v>
      </c>
      <c r="I24">
        <v>1</v>
      </c>
      <c r="O24" s="2">
        <v>23</v>
      </c>
      <c r="P24" s="2">
        <v>5</v>
      </c>
      <c r="Q24" s="2">
        <v>6</v>
      </c>
    </row>
    <row r="25" spans="1:17" x14ac:dyDescent="0.3">
      <c r="A25">
        <v>24</v>
      </c>
      <c r="B25" s="2">
        <v>7</v>
      </c>
      <c r="C25" s="2">
        <v>5</v>
      </c>
      <c r="D25">
        <v>2.2999999999999998</v>
      </c>
      <c r="E25">
        <v>7.0000000000000001E-3</v>
      </c>
      <c r="F25">
        <v>18</v>
      </c>
      <c r="G25">
        <v>25</v>
      </c>
      <c r="H25">
        <v>3.0000000000000001E-3</v>
      </c>
      <c r="I25">
        <v>1</v>
      </c>
      <c r="O25" s="2">
        <v>24</v>
      </c>
      <c r="P25" s="2">
        <v>5</v>
      </c>
      <c r="Q25" s="2">
        <v>7</v>
      </c>
    </row>
    <row r="26" spans="1:17" x14ac:dyDescent="0.3">
      <c r="A26">
        <v>25</v>
      </c>
      <c r="B26" s="2">
        <v>1</v>
      </c>
      <c r="C26" s="2">
        <v>6</v>
      </c>
      <c r="D26">
        <v>2.1</v>
      </c>
      <c r="E26">
        <v>6.0000000000000001E-3</v>
      </c>
      <c r="F26">
        <v>10</v>
      </c>
      <c r="G26">
        <v>9</v>
      </c>
      <c r="H26">
        <v>3.0000000000000001E-3</v>
      </c>
      <c r="I26">
        <v>1</v>
      </c>
      <c r="O26" s="2">
        <v>25</v>
      </c>
      <c r="P26" s="2">
        <v>6</v>
      </c>
      <c r="Q26" s="2">
        <v>1</v>
      </c>
    </row>
    <row r="27" spans="1:17" x14ac:dyDescent="0.3">
      <c r="A27">
        <v>26</v>
      </c>
      <c r="B27" s="2">
        <v>2</v>
      </c>
      <c r="C27" s="2">
        <v>6</v>
      </c>
      <c r="D27">
        <v>2.4</v>
      </c>
      <c r="E27">
        <v>2E-3</v>
      </c>
      <c r="F27">
        <v>26</v>
      </c>
      <c r="G27">
        <v>19</v>
      </c>
      <c r="H27">
        <v>3.0000000000000001E-3</v>
      </c>
      <c r="I27">
        <v>1</v>
      </c>
      <c r="O27" s="2">
        <v>26</v>
      </c>
      <c r="P27" s="2">
        <v>6</v>
      </c>
      <c r="Q27" s="2">
        <v>2</v>
      </c>
    </row>
    <row r="28" spans="1:17" x14ac:dyDescent="0.3">
      <c r="A28">
        <v>27</v>
      </c>
      <c r="B28" s="2">
        <v>3</v>
      </c>
      <c r="C28" s="2">
        <v>6</v>
      </c>
      <c r="D28">
        <v>2.4</v>
      </c>
      <c r="E28">
        <v>8.9999999999999993E-3</v>
      </c>
      <c r="F28">
        <v>20</v>
      </c>
      <c r="G28">
        <v>27</v>
      </c>
      <c r="H28">
        <v>1.5E-3</v>
      </c>
      <c r="I28">
        <v>1</v>
      </c>
      <c r="O28" s="2">
        <v>27</v>
      </c>
      <c r="P28" s="2">
        <v>6</v>
      </c>
      <c r="Q28" s="2">
        <v>3</v>
      </c>
    </row>
    <row r="29" spans="1:17" x14ac:dyDescent="0.3">
      <c r="A29">
        <v>28</v>
      </c>
      <c r="B29" s="2">
        <v>4</v>
      </c>
      <c r="C29" s="2">
        <v>6</v>
      </c>
      <c r="D29">
        <v>2.25</v>
      </c>
      <c r="E29">
        <v>4.0000000000000001E-3</v>
      </c>
      <c r="F29">
        <v>21</v>
      </c>
      <c r="G29">
        <v>20</v>
      </c>
      <c r="H29">
        <v>3.0000000000000001E-3</v>
      </c>
      <c r="I29">
        <v>1</v>
      </c>
      <c r="O29" s="2">
        <v>28</v>
      </c>
      <c r="P29" s="2">
        <v>6</v>
      </c>
      <c r="Q29" s="2">
        <v>4</v>
      </c>
    </row>
    <row r="30" spans="1:17" x14ac:dyDescent="0.3">
      <c r="A30">
        <v>29</v>
      </c>
      <c r="B30" s="2">
        <v>5</v>
      </c>
      <c r="C30" s="2">
        <v>6</v>
      </c>
      <c r="D30">
        <v>2.2000000000000002</v>
      </c>
      <c r="E30">
        <v>6.0000000000000001E-3</v>
      </c>
      <c r="F30">
        <v>21</v>
      </c>
      <c r="G30">
        <v>28</v>
      </c>
      <c r="H30">
        <v>3.0000000000000001E-3</v>
      </c>
      <c r="I30">
        <v>1</v>
      </c>
      <c r="O30" s="2">
        <v>29</v>
      </c>
      <c r="P30" s="2">
        <v>6</v>
      </c>
      <c r="Q30" s="2">
        <v>5</v>
      </c>
    </row>
    <row r="31" spans="1:17" x14ac:dyDescent="0.3">
      <c r="A31">
        <v>30</v>
      </c>
      <c r="B31" s="2">
        <v>1</v>
      </c>
      <c r="C31" s="2">
        <v>7</v>
      </c>
      <c r="D31">
        <v>2.1</v>
      </c>
      <c r="E31">
        <v>4.0000000000000001E-3</v>
      </c>
      <c r="F31">
        <v>22</v>
      </c>
      <c r="G31">
        <v>23</v>
      </c>
      <c r="H31">
        <v>1.5E-3</v>
      </c>
      <c r="I31">
        <v>1</v>
      </c>
      <c r="O31" s="2">
        <v>30</v>
      </c>
      <c r="P31" s="2">
        <v>7</v>
      </c>
      <c r="Q31" s="2">
        <v>1</v>
      </c>
    </row>
    <row r="32" spans="1:17" x14ac:dyDescent="0.3">
      <c r="A32">
        <v>31</v>
      </c>
      <c r="B32" s="2">
        <v>2</v>
      </c>
      <c r="C32" s="2">
        <v>7</v>
      </c>
      <c r="D32">
        <v>2</v>
      </c>
      <c r="E32">
        <v>4.0000000000000001E-3</v>
      </c>
      <c r="F32">
        <v>16</v>
      </c>
      <c r="G32">
        <v>21</v>
      </c>
      <c r="H32">
        <v>3.0000000000000001E-3</v>
      </c>
      <c r="I32">
        <v>1</v>
      </c>
      <c r="O32" s="2">
        <v>31</v>
      </c>
      <c r="P32" s="2">
        <v>7</v>
      </c>
      <c r="Q32" s="2">
        <v>2</v>
      </c>
    </row>
    <row r="33" spans="1:17" x14ac:dyDescent="0.3">
      <c r="A33">
        <v>32</v>
      </c>
      <c r="B33" s="2">
        <v>3</v>
      </c>
      <c r="C33" s="2">
        <v>7</v>
      </c>
      <c r="D33">
        <v>2</v>
      </c>
      <c r="E33">
        <v>8.0000000000000002E-3</v>
      </c>
      <c r="F33">
        <v>23</v>
      </c>
      <c r="G33">
        <v>35</v>
      </c>
      <c r="H33">
        <v>1.4E-3</v>
      </c>
      <c r="I33">
        <v>1</v>
      </c>
      <c r="O33" s="2">
        <v>32</v>
      </c>
      <c r="P33" s="2">
        <v>7</v>
      </c>
      <c r="Q33" s="2">
        <v>3</v>
      </c>
    </row>
    <row r="34" spans="1:17" x14ac:dyDescent="0.3">
      <c r="A34">
        <v>33</v>
      </c>
      <c r="B34" s="2">
        <v>4</v>
      </c>
      <c r="C34" s="2">
        <v>7</v>
      </c>
      <c r="D34">
        <v>1.95</v>
      </c>
      <c r="E34">
        <v>6.0000000000000001E-3</v>
      </c>
      <c r="F34">
        <v>22</v>
      </c>
      <c r="G34">
        <v>21</v>
      </c>
      <c r="H34">
        <v>3.0000000000000001E-3</v>
      </c>
      <c r="I34">
        <v>1</v>
      </c>
      <c r="O34" s="2">
        <v>33</v>
      </c>
      <c r="P34" s="2">
        <v>7</v>
      </c>
      <c r="Q34" s="2">
        <v>4</v>
      </c>
    </row>
    <row r="35" spans="1:17" x14ac:dyDescent="0.3">
      <c r="A35">
        <v>34</v>
      </c>
      <c r="B35" s="2">
        <v>5</v>
      </c>
      <c r="C35" s="2">
        <v>7</v>
      </c>
      <c r="D35">
        <v>2</v>
      </c>
      <c r="E35">
        <v>0.01</v>
      </c>
      <c r="F35">
        <v>33</v>
      </c>
      <c r="G35">
        <v>32</v>
      </c>
      <c r="H35">
        <v>3.0000000000000001E-3</v>
      </c>
      <c r="I35">
        <v>1</v>
      </c>
      <c r="O35" s="2">
        <v>34</v>
      </c>
      <c r="P35" s="2">
        <v>7</v>
      </c>
      <c r="Q35" s="2">
        <v>5</v>
      </c>
    </row>
    <row r="36" spans="1:17" x14ac:dyDescent="0.3">
      <c r="A36">
        <v>35</v>
      </c>
      <c r="B36" s="2">
        <v>6</v>
      </c>
      <c r="C36" s="2">
        <v>7</v>
      </c>
      <c r="D36">
        <v>1.95</v>
      </c>
      <c r="E36">
        <v>0.01</v>
      </c>
      <c r="F36">
        <v>25</v>
      </c>
      <c r="G36">
        <v>30</v>
      </c>
      <c r="H36">
        <v>3.8999999999999998E-3</v>
      </c>
      <c r="I36">
        <v>1</v>
      </c>
      <c r="O36" s="2">
        <v>35</v>
      </c>
      <c r="P36" s="2">
        <v>7</v>
      </c>
      <c r="Q36" s="2">
        <v>6</v>
      </c>
    </row>
    <row r="37" spans="1:17" x14ac:dyDescent="0.3">
      <c r="A37">
        <v>36</v>
      </c>
      <c r="B37" s="2">
        <v>7</v>
      </c>
      <c r="C37" s="2">
        <v>7</v>
      </c>
      <c r="D37">
        <v>1.9</v>
      </c>
      <c r="E37">
        <v>1.0999999999999999E-2</v>
      </c>
      <c r="F37">
        <v>49</v>
      </c>
      <c r="G37">
        <v>50</v>
      </c>
      <c r="H37">
        <v>3.0000000000000001E-3</v>
      </c>
      <c r="I37">
        <v>1</v>
      </c>
      <c r="O37" s="2">
        <v>36</v>
      </c>
      <c r="P37" s="2">
        <v>7</v>
      </c>
      <c r="Q37" s="2">
        <v>8</v>
      </c>
    </row>
    <row r="38" spans="1:17" x14ac:dyDescent="0.3">
      <c r="A38">
        <v>37</v>
      </c>
      <c r="B38" s="2">
        <v>5</v>
      </c>
      <c r="C38" s="2">
        <v>8</v>
      </c>
      <c r="D38">
        <v>2.0499999999999998</v>
      </c>
      <c r="E38">
        <v>3.0000000000000001E-3</v>
      </c>
      <c r="F38">
        <v>27</v>
      </c>
      <c r="G38">
        <v>32</v>
      </c>
      <c r="H38">
        <v>1.4E-3</v>
      </c>
      <c r="I38">
        <v>1</v>
      </c>
      <c r="O38" s="2">
        <v>37</v>
      </c>
      <c r="P38" s="2">
        <v>8</v>
      </c>
      <c r="Q38" s="2">
        <v>5</v>
      </c>
    </row>
    <row r="39" spans="1:17" x14ac:dyDescent="0.3">
      <c r="A39">
        <v>38</v>
      </c>
      <c r="B39" s="2">
        <v>1</v>
      </c>
      <c r="C39" s="2">
        <v>9</v>
      </c>
      <c r="D39">
        <v>2.2000000000000002</v>
      </c>
      <c r="E39">
        <v>3.0000000000000001E-3</v>
      </c>
      <c r="F39">
        <v>28</v>
      </c>
      <c r="G39">
        <v>33</v>
      </c>
      <c r="H39">
        <v>3.8999999999999998E-3</v>
      </c>
      <c r="I39">
        <v>1</v>
      </c>
      <c r="O39" s="2">
        <v>38</v>
      </c>
      <c r="P39" s="2">
        <v>9</v>
      </c>
      <c r="Q39" s="2">
        <v>1</v>
      </c>
    </row>
    <row r="40" spans="1:17" x14ac:dyDescent="0.3">
      <c r="A40">
        <v>39</v>
      </c>
      <c r="B40" s="2">
        <v>2</v>
      </c>
      <c r="C40" s="2">
        <v>9</v>
      </c>
      <c r="D40">
        <v>2.1</v>
      </c>
      <c r="E40">
        <v>2E-3</v>
      </c>
      <c r="F40">
        <v>29</v>
      </c>
      <c r="G40">
        <v>34</v>
      </c>
      <c r="H40">
        <v>3.0000000000000001E-3</v>
      </c>
      <c r="I40">
        <v>1</v>
      </c>
      <c r="O40" s="2">
        <v>39</v>
      </c>
      <c r="P40" s="2">
        <v>9</v>
      </c>
      <c r="Q40" s="2">
        <v>2</v>
      </c>
    </row>
    <row r="41" spans="1:17" x14ac:dyDescent="0.3">
      <c r="A41">
        <v>40</v>
      </c>
      <c r="B41" s="2">
        <v>3</v>
      </c>
      <c r="C41" s="2">
        <v>9</v>
      </c>
      <c r="D41">
        <v>2</v>
      </c>
      <c r="E41">
        <v>6.0000000000000001E-3</v>
      </c>
      <c r="F41">
        <v>29</v>
      </c>
      <c r="G41">
        <v>22</v>
      </c>
      <c r="H41">
        <v>3.0000000000000001E-3</v>
      </c>
      <c r="I41">
        <v>1</v>
      </c>
      <c r="O41" s="2">
        <v>40</v>
      </c>
      <c r="P41" s="2">
        <v>9</v>
      </c>
      <c r="Q41" s="2">
        <v>3</v>
      </c>
    </row>
    <row r="42" spans="1:17" x14ac:dyDescent="0.3">
      <c r="A42">
        <v>41</v>
      </c>
      <c r="B42" s="2">
        <v>4</v>
      </c>
      <c r="C42" s="2">
        <v>9</v>
      </c>
      <c r="D42">
        <v>2.1</v>
      </c>
      <c r="E42">
        <v>6.0000000000000001E-3</v>
      </c>
      <c r="F42">
        <v>30</v>
      </c>
      <c r="G42">
        <v>31</v>
      </c>
      <c r="H42">
        <v>3.3999999999999998E-3</v>
      </c>
      <c r="I42">
        <v>1</v>
      </c>
      <c r="O42" s="2">
        <v>41</v>
      </c>
      <c r="P42" s="2">
        <v>9</v>
      </c>
      <c r="Q42" s="2">
        <v>4</v>
      </c>
    </row>
    <row r="43" spans="1:17" x14ac:dyDescent="0.3">
      <c r="A43">
        <v>42</v>
      </c>
      <c r="B43" s="2">
        <v>5</v>
      </c>
      <c r="C43" s="2">
        <v>9</v>
      </c>
      <c r="D43">
        <v>2.1</v>
      </c>
      <c r="E43">
        <v>0.01</v>
      </c>
      <c r="F43">
        <v>31</v>
      </c>
      <c r="G43">
        <v>32</v>
      </c>
      <c r="H43">
        <v>3.2000000000000002E-3</v>
      </c>
      <c r="I43">
        <v>1</v>
      </c>
      <c r="O43" s="2">
        <v>42</v>
      </c>
      <c r="P43" s="2">
        <v>9</v>
      </c>
      <c r="Q43" s="2">
        <v>5</v>
      </c>
    </row>
    <row r="44" spans="1:17" x14ac:dyDescent="0.3">
      <c r="A44">
        <v>43</v>
      </c>
      <c r="B44" s="2">
        <v>6</v>
      </c>
      <c r="C44" s="2">
        <v>9</v>
      </c>
      <c r="D44">
        <v>2</v>
      </c>
      <c r="E44">
        <v>3.0000000000000001E-3</v>
      </c>
      <c r="F44">
        <v>31</v>
      </c>
      <c r="G44">
        <v>39</v>
      </c>
      <c r="H44">
        <v>3.0000000000000001E-3</v>
      </c>
      <c r="I44">
        <v>1</v>
      </c>
      <c r="O44" s="2">
        <v>43</v>
      </c>
      <c r="P44" s="2">
        <v>9</v>
      </c>
      <c r="Q44" s="2">
        <v>6</v>
      </c>
    </row>
    <row r="45" spans="1:17" x14ac:dyDescent="0.3">
      <c r="A45">
        <v>44</v>
      </c>
      <c r="B45" s="2">
        <v>7</v>
      </c>
      <c r="C45" s="2">
        <v>9</v>
      </c>
      <c r="D45">
        <v>2</v>
      </c>
      <c r="E45">
        <v>5.0000000000000001E-3</v>
      </c>
      <c r="F45">
        <v>31</v>
      </c>
      <c r="G45">
        <v>26</v>
      </c>
      <c r="H45">
        <v>3.0000000000000001E-3</v>
      </c>
      <c r="I45">
        <v>1</v>
      </c>
      <c r="O45" s="2">
        <v>44</v>
      </c>
      <c r="P45" s="2">
        <v>9</v>
      </c>
      <c r="Q45" s="2">
        <v>7</v>
      </c>
    </row>
    <row r="46" spans="1:17" x14ac:dyDescent="0.3">
      <c r="A46">
        <v>45</v>
      </c>
      <c r="B46" s="2">
        <v>2</v>
      </c>
      <c r="C46" s="2">
        <v>10</v>
      </c>
      <c r="D46">
        <v>2.2000000000000002</v>
      </c>
      <c r="E46">
        <v>5.0000000000000001E-3</v>
      </c>
      <c r="F46">
        <v>32</v>
      </c>
      <c r="G46">
        <v>40</v>
      </c>
      <c r="H46">
        <v>1.5E-3</v>
      </c>
      <c r="I46">
        <v>1</v>
      </c>
      <c r="O46" s="2">
        <v>45</v>
      </c>
      <c r="P46" s="2">
        <v>10</v>
      </c>
      <c r="Q46" s="2">
        <v>2</v>
      </c>
    </row>
    <row r="47" spans="1:17" x14ac:dyDescent="0.3">
      <c r="A47">
        <v>46</v>
      </c>
      <c r="B47" s="2">
        <v>3</v>
      </c>
      <c r="C47" s="2">
        <v>10</v>
      </c>
      <c r="D47">
        <v>2.1</v>
      </c>
      <c r="E47">
        <v>3.0000000000000001E-3</v>
      </c>
      <c r="F47">
        <v>37</v>
      </c>
      <c r="G47">
        <v>34</v>
      </c>
      <c r="H47">
        <v>3.3E-3</v>
      </c>
      <c r="I47">
        <v>1</v>
      </c>
      <c r="O47" s="2">
        <v>46</v>
      </c>
      <c r="P47" s="2">
        <v>10</v>
      </c>
      <c r="Q47" s="2">
        <v>3</v>
      </c>
    </row>
    <row r="48" spans="1:17" x14ac:dyDescent="0.3">
      <c r="A48">
        <v>47</v>
      </c>
      <c r="B48" s="2">
        <v>4</v>
      </c>
      <c r="C48" s="2">
        <v>10</v>
      </c>
      <c r="D48">
        <v>2.2000000000000002</v>
      </c>
      <c r="E48">
        <v>7.0000000000000001E-3</v>
      </c>
      <c r="F48">
        <v>33</v>
      </c>
      <c r="G48">
        <v>34</v>
      </c>
      <c r="H48">
        <v>3.0000000000000001E-3</v>
      </c>
      <c r="I48">
        <v>1</v>
      </c>
      <c r="O48" s="2">
        <v>47</v>
      </c>
      <c r="P48" s="2">
        <v>10</v>
      </c>
      <c r="Q48" s="2">
        <v>4</v>
      </c>
    </row>
    <row r="49" spans="1:17" x14ac:dyDescent="0.3">
      <c r="A49">
        <v>48</v>
      </c>
      <c r="B49" s="2">
        <v>5</v>
      </c>
      <c r="C49" s="2">
        <v>10</v>
      </c>
      <c r="D49">
        <v>2.1</v>
      </c>
      <c r="E49">
        <v>8.0000000000000002E-3</v>
      </c>
      <c r="F49">
        <v>48</v>
      </c>
      <c r="G49">
        <v>42</v>
      </c>
      <c r="H49">
        <v>3.0000000000000001E-3</v>
      </c>
      <c r="I49">
        <v>1</v>
      </c>
      <c r="O49" s="2">
        <v>48</v>
      </c>
      <c r="P49" s="2">
        <v>10</v>
      </c>
      <c r="Q49" s="2">
        <v>5</v>
      </c>
    </row>
    <row r="50" spans="1:17" x14ac:dyDescent="0.3">
      <c r="A50">
        <v>49</v>
      </c>
      <c r="B50" s="2">
        <v>6</v>
      </c>
      <c r="C50" s="2">
        <v>10</v>
      </c>
      <c r="D50">
        <v>2.1</v>
      </c>
      <c r="E50">
        <v>0</v>
      </c>
      <c r="F50">
        <v>34</v>
      </c>
      <c r="G50">
        <v>35</v>
      </c>
      <c r="H50">
        <v>3.0000000000000001E-3</v>
      </c>
      <c r="I50">
        <v>1</v>
      </c>
      <c r="O50" s="2">
        <v>49</v>
      </c>
      <c r="P50" s="2">
        <v>10</v>
      </c>
      <c r="Q50" s="2">
        <v>6</v>
      </c>
    </row>
    <row r="51" spans="1:17" x14ac:dyDescent="0.3">
      <c r="A51">
        <v>50</v>
      </c>
      <c r="B51" s="2">
        <v>7</v>
      </c>
      <c r="C51" s="2">
        <v>10</v>
      </c>
      <c r="D51">
        <v>2.1</v>
      </c>
      <c r="E51">
        <v>0</v>
      </c>
      <c r="F51">
        <v>35</v>
      </c>
      <c r="G51">
        <v>43</v>
      </c>
      <c r="H51">
        <v>1.4E-3</v>
      </c>
      <c r="I51">
        <v>1</v>
      </c>
      <c r="O51" s="2">
        <v>50</v>
      </c>
      <c r="P51" s="2">
        <v>10</v>
      </c>
      <c r="Q51" s="2">
        <v>7</v>
      </c>
    </row>
    <row r="52" spans="1:17" x14ac:dyDescent="0.3">
      <c r="A52">
        <v>51</v>
      </c>
      <c r="B52" s="2">
        <v>3</v>
      </c>
      <c r="C52" s="2">
        <v>11</v>
      </c>
      <c r="D52">
        <v>2.2000000000000002</v>
      </c>
      <c r="E52">
        <v>3.0000000000000001E-3</v>
      </c>
      <c r="F52">
        <v>36</v>
      </c>
      <c r="G52">
        <v>35</v>
      </c>
      <c r="H52">
        <v>2.8999999999999998E-3</v>
      </c>
      <c r="I52">
        <v>1</v>
      </c>
      <c r="O52" s="2">
        <v>51</v>
      </c>
      <c r="P52" s="2">
        <v>11</v>
      </c>
      <c r="Q52" s="2">
        <v>3</v>
      </c>
    </row>
    <row r="53" spans="1:17" x14ac:dyDescent="0.3">
      <c r="A53">
        <v>52</v>
      </c>
      <c r="B53" s="2">
        <v>4</v>
      </c>
      <c r="C53" s="2">
        <v>11</v>
      </c>
      <c r="D53">
        <v>2.2000000000000002</v>
      </c>
      <c r="E53">
        <v>0</v>
      </c>
      <c r="F53">
        <v>44</v>
      </c>
      <c r="G53">
        <v>36</v>
      </c>
      <c r="H53">
        <v>3.0000000000000001E-3</v>
      </c>
      <c r="I53">
        <v>1</v>
      </c>
      <c r="O53" s="2">
        <v>52</v>
      </c>
      <c r="P53" s="2">
        <v>11</v>
      </c>
      <c r="Q53" s="2">
        <v>4</v>
      </c>
    </row>
    <row r="54" spans="1:17" x14ac:dyDescent="0.3">
      <c r="A54">
        <v>53</v>
      </c>
      <c r="B54" s="2">
        <v>5</v>
      </c>
      <c r="C54" s="2">
        <v>11</v>
      </c>
      <c r="D54">
        <v>2.2000000000000002</v>
      </c>
      <c r="E54">
        <v>0</v>
      </c>
      <c r="F54">
        <v>38</v>
      </c>
      <c r="G54">
        <v>45</v>
      </c>
      <c r="H54">
        <v>3.0000000000000001E-3</v>
      </c>
      <c r="I54">
        <v>1</v>
      </c>
      <c r="O54" s="2">
        <v>53</v>
      </c>
      <c r="P54" s="2">
        <v>11</v>
      </c>
      <c r="Q54" s="2">
        <v>5</v>
      </c>
    </row>
    <row r="55" spans="1:17" x14ac:dyDescent="0.3">
      <c r="A55">
        <v>54</v>
      </c>
      <c r="B55" s="2">
        <v>6</v>
      </c>
      <c r="C55" s="2">
        <v>11</v>
      </c>
      <c r="D55">
        <v>2.25</v>
      </c>
      <c r="E55">
        <v>0</v>
      </c>
      <c r="F55">
        <v>39</v>
      </c>
      <c r="G55">
        <v>40</v>
      </c>
      <c r="H55">
        <v>3.0000000000000001E-3</v>
      </c>
      <c r="I55">
        <v>1</v>
      </c>
      <c r="O55" s="2">
        <v>54</v>
      </c>
      <c r="P55" s="2">
        <v>11</v>
      </c>
      <c r="Q55" s="2">
        <v>6</v>
      </c>
    </row>
    <row r="56" spans="1:17" x14ac:dyDescent="0.3">
      <c r="A56">
        <v>55</v>
      </c>
      <c r="B56" s="2">
        <v>7</v>
      </c>
      <c r="C56" s="2">
        <v>11</v>
      </c>
      <c r="D56">
        <v>2.7</v>
      </c>
      <c r="E56">
        <v>0</v>
      </c>
      <c r="F56">
        <v>39</v>
      </c>
      <c r="G56">
        <v>38</v>
      </c>
      <c r="H56">
        <v>3.0000000000000001E-3</v>
      </c>
      <c r="I56">
        <v>1</v>
      </c>
      <c r="O56" s="2">
        <v>55</v>
      </c>
      <c r="P56" s="2">
        <v>11</v>
      </c>
      <c r="Q56" s="2">
        <v>7</v>
      </c>
    </row>
    <row r="57" spans="1:17" x14ac:dyDescent="0.3">
      <c r="A57">
        <v>56</v>
      </c>
      <c r="B57" s="2">
        <v>7</v>
      </c>
      <c r="C57" s="2">
        <v>12</v>
      </c>
      <c r="D57">
        <v>2.2000000000000002</v>
      </c>
      <c r="E57">
        <v>1.2999999999999999E-2</v>
      </c>
      <c r="F57">
        <v>40</v>
      </c>
      <c r="G57">
        <v>41</v>
      </c>
      <c r="H57">
        <v>1.4E-3</v>
      </c>
      <c r="I57">
        <v>1</v>
      </c>
      <c r="O57" s="2">
        <v>56</v>
      </c>
      <c r="P57" s="2">
        <v>12</v>
      </c>
      <c r="Q57" s="2">
        <v>7</v>
      </c>
    </row>
    <row r="58" spans="1:17" x14ac:dyDescent="0.3">
      <c r="A58">
        <v>57</v>
      </c>
      <c r="B58" s="2">
        <v>7</v>
      </c>
      <c r="C58" s="2">
        <v>13</v>
      </c>
      <c r="D58">
        <v>2.2000000000000002</v>
      </c>
      <c r="E58">
        <v>-0.34</v>
      </c>
      <c r="F58">
        <v>41</v>
      </c>
      <c r="G58">
        <v>42</v>
      </c>
      <c r="H58">
        <v>1.2999999999999999E-3</v>
      </c>
      <c r="I58">
        <v>1</v>
      </c>
      <c r="O58" s="2">
        <v>57</v>
      </c>
      <c r="P58" s="2">
        <v>13</v>
      </c>
      <c r="Q58" s="2">
        <v>7</v>
      </c>
    </row>
    <row r="59" spans="1:17" x14ac:dyDescent="0.3">
      <c r="F59">
        <v>43</v>
      </c>
      <c r="G59">
        <v>44</v>
      </c>
      <c r="H59">
        <v>3.0000000000000001E-3</v>
      </c>
      <c r="I59">
        <v>1</v>
      </c>
    </row>
    <row r="60" spans="1:17" x14ac:dyDescent="0.3">
      <c r="F60">
        <v>42</v>
      </c>
      <c r="G60">
        <v>43</v>
      </c>
      <c r="H60">
        <v>1.1999999999999999E-3</v>
      </c>
      <c r="I60">
        <v>1</v>
      </c>
    </row>
    <row r="61" spans="1:17" x14ac:dyDescent="0.3">
      <c r="F61">
        <v>43</v>
      </c>
      <c r="G61">
        <v>49</v>
      </c>
      <c r="H61">
        <v>1.5E-3</v>
      </c>
      <c r="I61">
        <v>1</v>
      </c>
    </row>
    <row r="62" spans="1:17" x14ac:dyDescent="0.3">
      <c r="F62">
        <v>23</v>
      </c>
      <c r="G62">
        <v>24</v>
      </c>
      <c r="H62">
        <v>3.0000000000000001E-3</v>
      </c>
      <c r="I62">
        <v>1</v>
      </c>
    </row>
    <row r="63" spans="1:17" x14ac:dyDescent="0.3">
      <c r="F63">
        <v>24</v>
      </c>
      <c r="G63">
        <v>36</v>
      </c>
      <c r="H63">
        <v>3.0000000000000001E-3</v>
      </c>
      <c r="I63">
        <v>1</v>
      </c>
    </row>
    <row r="64" spans="1:17" x14ac:dyDescent="0.3">
      <c r="F64">
        <v>45</v>
      </c>
      <c r="G64">
        <v>51</v>
      </c>
      <c r="H64">
        <v>3.0000000000000001E-3</v>
      </c>
      <c r="I64">
        <v>1</v>
      </c>
    </row>
    <row r="65" spans="6:9" x14ac:dyDescent="0.3">
      <c r="F65">
        <v>48</v>
      </c>
      <c r="G65">
        <v>47</v>
      </c>
      <c r="H65">
        <v>3.0000000000000001E-3</v>
      </c>
      <c r="I65">
        <v>1</v>
      </c>
    </row>
    <row r="66" spans="6:9" x14ac:dyDescent="0.3">
      <c r="F66">
        <v>47</v>
      </c>
      <c r="G66">
        <v>52</v>
      </c>
      <c r="H66">
        <v>4.0000000000000001E-3</v>
      </c>
      <c r="I66">
        <v>1</v>
      </c>
    </row>
    <row r="67" spans="6:9" x14ac:dyDescent="0.3">
      <c r="F67">
        <v>46</v>
      </c>
      <c r="G67">
        <v>47</v>
      </c>
      <c r="H67">
        <v>3.0000000000000001E-3</v>
      </c>
      <c r="I67">
        <v>1</v>
      </c>
    </row>
    <row r="68" spans="6:9" x14ac:dyDescent="0.3">
      <c r="F68">
        <v>41</v>
      </c>
      <c r="G68">
        <v>47</v>
      </c>
      <c r="H68">
        <v>3.0000000000000001E-3</v>
      </c>
      <c r="I68">
        <v>1</v>
      </c>
    </row>
    <row r="69" spans="6:9" x14ac:dyDescent="0.3">
      <c r="F69">
        <v>49</v>
      </c>
      <c r="G69">
        <v>54</v>
      </c>
      <c r="H69">
        <v>1.5E-3</v>
      </c>
      <c r="I69">
        <v>1</v>
      </c>
    </row>
    <row r="70" spans="6:9" x14ac:dyDescent="0.3">
      <c r="F70">
        <v>46</v>
      </c>
      <c r="G70">
        <v>39</v>
      </c>
      <c r="H70">
        <v>3.0000000000000001E-3</v>
      </c>
      <c r="I70">
        <v>1</v>
      </c>
    </row>
    <row r="71" spans="6:9" x14ac:dyDescent="0.3">
      <c r="F71">
        <v>50</v>
      </c>
      <c r="G71">
        <v>44</v>
      </c>
      <c r="H71">
        <v>3.0000000000000001E-3</v>
      </c>
      <c r="I71">
        <v>1</v>
      </c>
    </row>
    <row r="72" spans="6:9" x14ac:dyDescent="0.3">
      <c r="F72">
        <v>51</v>
      </c>
      <c r="G72">
        <v>52</v>
      </c>
      <c r="H72">
        <v>3.0000000000000001E-3</v>
      </c>
      <c r="I72">
        <v>1</v>
      </c>
    </row>
    <row r="73" spans="6:9" x14ac:dyDescent="0.3">
      <c r="F73">
        <v>52</v>
      </c>
      <c r="G73">
        <v>53</v>
      </c>
      <c r="H73">
        <v>2.8999999999999998E-3</v>
      </c>
      <c r="I73">
        <v>1</v>
      </c>
    </row>
    <row r="74" spans="6:9" x14ac:dyDescent="0.3">
      <c r="F74">
        <v>53</v>
      </c>
      <c r="G74">
        <v>54</v>
      </c>
      <c r="H74">
        <v>2.8999999999999998E-3</v>
      </c>
      <c r="I74">
        <v>1</v>
      </c>
    </row>
    <row r="75" spans="6:9" x14ac:dyDescent="0.3">
      <c r="F75">
        <v>54</v>
      </c>
      <c r="G75">
        <v>56</v>
      </c>
      <c r="H75">
        <v>1.8E-3</v>
      </c>
      <c r="I75">
        <v>1</v>
      </c>
    </row>
    <row r="76" spans="6:9" x14ac:dyDescent="0.3">
      <c r="F76">
        <v>55</v>
      </c>
      <c r="G76">
        <v>6</v>
      </c>
      <c r="H76">
        <v>3.5000000000000001E-3</v>
      </c>
      <c r="I76">
        <v>1</v>
      </c>
    </row>
    <row r="77" spans="6:9" x14ac:dyDescent="0.3">
      <c r="F77">
        <v>55</v>
      </c>
      <c r="G77">
        <v>5</v>
      </c>
      <c r="H77">
        <v>3.0000000000000001E-3</v>
      </c>
      <c r="I77">
        <v>1</v>
      </c>
    </row>
    <row r="78" spans="6:9" x14ac:dyDescent="0.3">
      <c r="F78">
        <v>56</v>
      </c>
      <c r="G78">
        <v>50</v>
      </c>
      <c r="H78">
        <v>3.0000000000000001E-3</v>
      </c>
      <c r="I78">
        <v>1</v>
      </c>
    </row>
    <row r="79" spans="6:9" x14ac:dyDescent="0.3">
      <c r="F79">
        <v>56</v>
      </c>
      <c r="G79">
        <v>57</v>
      </c>
      <c r="H79">
        <v>1.9E-3</v>
      </c>
      <c r="I79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4F58-75A1-4D26-8E12-E20652428C13}">
  <dimension ref="A1:T142"/>
  <sheetViews>
    <sheetView topLeftCell="A45" workbookViewId="0">
      <selection activeCell="I6" sqref="I6:S66"/>
    </sheetView>
  </sheetViews>
  <sheetFormatPr defaultRowHeight="14.4" x14ac:dyDescent="0.3"/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19" x14ac:dyDescent="0.3">
      <c r="A2">
        <v>1</v>
      </c>
      <c r="B2">
        <v>2</v>
      </c>
      <c r="C2">
        <v>1</v>
      </c>
      <c r="D2">
        <v>2.5</v>
      </c>
      <c r="E2">
        <v>0</v>
      </c>
      <c r="I2" t="s">
        <v>27</v>
      </c>
      <c r="J2" t="s">
        <v>28</v>
      </c>
      <c r="K2" t="s">
        <v>29</v>
      </c>
      <c r="L2">
        <v>57</v>
      </c>
    </row>
    <row r="3" spans="1:19" x14ac:dyDescent="0.3">
      <c r="A3">
        <v>2</v>
      </c>
      <c r="B3">
        <v>4</v>
      </c>
      <c r="C3">
        <v>1</v>
      </c>
      <c r="D3">
        <v>2.6</v>
      </c>
      <c r="E3">
        <v>0</v>
      </c>
      <c r="I3" t="s">
        <v>27</v>
      </c>
      <c r="J3" t="s">
        <v>28</v>
      </c>
      <c r="K3" t="s">
        <v>30</v>
      </c>
      <c r="L3">
        <v>78</v>
      </c>
    </row>
    <row r="4" spans="1:19" x14ac:dyDescent="0.3">
      <c r="A4">
        <v>3</v>
      </c>
      <c r="B4">
        <v>5.7</v>
      </c>
      <c r="C4">
        <v>1</v>
      </c>
      <c r="D4">
        <v>2.7</v>
      </c>
      <c r="E4">
        <v>0</v>
      </c>
    </row>
    <row r="5" spans="1:19" x14ac:dyDescent="0.3">
      <c r="A5">
        <v>4</v>
      </c>
      <c r="B5">
        <v>7</v>
      </c>
      <c r="C5">
        <v>1</v>
      </c>
      <c r="D5">
        <v>2.8</v>
      </c>
      <c r="E5">
        <v>0</v>
      </c>
      <c r="I5" t="s">
        <v>31</v>
      </c>
      <c r="J5" t="s">
        <v>32</v>
      </c>
      <c r="K5" t="s">
        <v>31</v>
      </c>
    </row>
    <row r="6" spans="1:19" x14ac:dyDescent="0.3">
      <c r="A6">
        <v>5</v>
      </c>
      <c r="B6">
        <v>2.5</v>
      </c>
      <c r="C6">
        <v>2</v>
      </c>
      <c r="D6">
        <v>2.6</v>
      </c>
      <c r="E6">
        <v>0</v>
      </c>
      <c r="I6" t="s">
        <v>33</v>
      </c>
      <c r="J6" t="s">
        <v>34</v>
      </c>
      <c r="K6" t="s">
        <v>35</v>
      </c>
      <c r="L6" t="s">
        <v>36</v>
      </c>
      <c r="M6" t="s">
        <v>37</v>
      </c>
      <c r="N6" t="s">
        <v>38</v>
      </c>
      <c r="O6" t="s">
        <v>39</v>
      </c>
      <c r="P6" t="s">
        <v>40</v>
      </c>
      <c r="Q6" t="s">
        <v>41</v>
      </c>
      <c r="R6" t="s">
        <v>42</v>
      </c>
      <c r="S6">
        <v>0</v>
      </c>
    </row>
    <row r="7" spans="1:19" x14ac:dyDescent="0.3">
      <c r="A7">
        <v>6</v>
      </c>
      <c r="B7">
        <v>5</v>
      </c>
      <c r="C7">
        <v>2</v>
      </c>
      <c r="D7">
        <v>2.6</v>
      </c>
      <c r="E7">
        <v>0</v>
      </c>
      <c r="I7" t="s">
        <v>33</v>
      </c>
      <c r="J7" t="s">
        <v>34</v>
      </c>
      <c r="K7" t="s">
        <v>43</v>
      </c>
      <c r="L7" t="s">
        <v>36</v>
      </c>
      <c r="M7" t="s">
        <v>44</v>
      </c>
      <c r="N7" t="s">
        <v>38</v>
      </c>
      <c r="O7" t="s">
        <v>39</v>
      </c>
      <c r="P7" t="s">
        <v>40</v>
      </c>
      <c r="Q7" t="s">
        <v>45</v>
      </c>
      <c r="R7" t="s">
        <v>42</v>
      </c>
      <c r="S7">
        <v>0</v>
      </c>
    </row>
    <row r="8" spans="1:19" x14ac:dyDescent="0.3">
      <c r="A8">
        <v>7</v>
      </c>
      <c r="B8">
        <v>1</v>
      </c>
      <c r="C8">
        <v>3</v>
      </c>
      <c r="D8">
        <v>2.2999999999999998</v>
      </c>
      <c r="E8">
        <v>0</v>
      </c>
      <c r="I8" t="s">
        <v>33</v>
      </c>
      <c r="J8" t="s">
        <v>34</v>
      </c>
      <c r="K8" t="s">
        <v>46</v>
      </c>
      <c r="L8" t="s">
        <v>36</v>
      </c>
      <c r="M8" t="s">
        <v>47</v>
      </c>
      <c r="N8" t="s">
        <v>38</v>
      </c>
      <c r="O8" t="s">
        <v>39</v>
      </c>
      <c r="P8" t="s">
        <v>40</v>
      </c>
      <c r="Q8" t="s">
        <v>48</v>
      </c>
      <c r="R8" t="s">
        <v>42</v>
      </c>
      <c r="S8">
        <v>0</v>
      </c>
    </row>
    <row r="9" spans="1:19" x14ac:dyDescent="0.3">
      <c r="A9">
        <v>8</v>
      </c>
      <c r="B9">
        <v>2</v>
      </c>
      <c r="C9">
        <v>3</v>
      </c>
      <c r="D9">
        <v>2.5</v>
      </c>
      <c r="E9">
        <v>0</v>
      </c>
      <c r="I9" t="s">
        <v>33</v>
      </c>
      <c r="J9" t="s">
        <v>34</v>
      </c>
      <c r="K9" t="s">
        <v>49</v>
      </c>
      <c r="L9" t="s">
        <v>36</v>
      </c>
      <c r="M9" t="s">
        <v>50</v>
      </c>
      <c r="N9" t="s">
        <v>38</v>
      </c>
      <c r="O9" t="s">
        <v>39</v>
      </c>
      <c r="P9" t="s">
        <v>40</v>
      </c>
      <c r="Q9" t="s">
        <v>51</v>
      </c>
      <c r="R9" t="s">
        <v>42</v>
      </c>
      <c r="S9">
        <v>0</v>
      </c>
    </row>
    <row r="10" spans="1:19" x14ac:dyDescent="0.3">
      <c r="A10">
        <v>9</v>
      </c>
      <c r="B10">
        <v>3</v>
      </c>
      <c r="C10">
        <v>3</v>
      </c>
      <c r="D10">
        <v>2.9</v>
      </c>
      <c r="E10">
        <v>0</v>
      </c>
      <c r="I10" t="s">
        <v>33</v>
      </c>
      <c r="J10" t="s">
        <v>34</v>
      </c>
      <c r="K10" t="s">
        <v>52</v>
      </c>
      <c r="L10" t="s">
        <v>36</v>
      </c>
      <c r="M10" t="s">
        <v>41</v>
      </c>
      <c r="N10" t="s">
        <v>38</v>
      </c>
      <c r="O10" t="s">
        <v>37</v>
      </c>
      <c r="P10" t="s">
        <v>40</v>
      </c>
      <c r="Q10" t="s">
        <v>45</v>
      </c>
      <c r="R10" t="s">
        <v>42</v>
      </c>
      <c r="S10">
        <v>0</v>
      </c>
    </row>
    <row r="11" spans="1:19" x14ac:dyDescent="0.3">
      <c r="A11">
        <v>10</v>
      </c>
      <c r="B11">
        <v>4</v>
      </c>
      <c r="C11">
        <v>3</v>
      </c>
      <c r="D11">
        <v>2.85</v>
      </c>
      <c r="E11">
        <v>0</v>
      </c>
      <c r="I11" t="s">
        <v>33</v>
      </c>
      <c r="J11" t="s">
        <v>34</v>
      </c>
      <c r="K11" t="s">
        <v>53</v>
      </c>
      <c r="L11" t="s">
        <v>36</v>
      </c>
      <c r="M11" t="s">
        <v>54</v>
      </c>
      <c r="N11" t="s">
        <v>38</v>
      </c>
      <c r="O11" t="s">
        <v>37</v>
      </c>
      <c r="P11" t="s">
        <v>40</v>
      </c>
      <c r="Q11" t="s">
        <v>45</v>
      </c>
      <c r="R11" t="s">
        <v>42</v>
      </c>
      <c r="S11">
        <v>0</v>
      </c>
    </row>
    <row r="12" spans="1:19" x14ac:dyDescent="0.3">
      <c r="A12">
        <v>11</v>
      </c>
      <c r="B12">
        <v>5</v>
      </c>
      <c r="C12">
        <v>3</v>
      </c>
      <c r="D12">
        <v>2.8</v>
      </c>
      <c r="E12">
        <v>0</v>
      </c>
      <c r="I12" t="s">
        <v>33</v>
      </c>
      <c r="J12" t="s">
        <v>34</v>
      </c>
      <c r="K12" t="s">
        <v>55</v>
      </c>
      <c r="L12" t="s">
        <v>36</v>
      </c>
      <c r="M12" t="s">
        <v>39</v>
      </c>
      <c r="N12" t="s">
        <v>38</v>
      </c>
      <c r="O12" t="s">
        <v>56</v>
      </c>
      <c r="P12" t="s">
        <v>40</v>
      </c>
      <c r="Q12" t="s">
        <v>57</v>
      </c>
      <c r="R12" t="s">
        <v>42</v>
      </c>
      <c r="S12">
        <v>0</v>
      </c>
    </row>
    <row r="13" spans="1:19" x14ac:dyDescent="0.3">
      <c r="A13">
        <v>12</v>
      </c>
      <c r="B13">
        <v>6</v>
      </c>
      <c r="C13">
        <v>3</v>
      </c>
      <c r="D13">
        <v>2.8</v>
      </c>
      <c r="E13">
        <v>0</v>
      </c>
      <c r="I13" t="s">
        <v>33</v>
      </c>
      <c r="J13" t="s">
        <v>34</v>
      </c>
      <c r="K13" t="s">
        <v>58</v>
      </c>
      <c r="L13" t="s">
        <v>36</v>
      </c>
      <c r="M13" t="s">
        <v>37</v>
      </c>
      <c r="N13" t="s">
        <v>38</v>
      </c>
      <c r="O13" t="s">
        <v>56</v>
      </c>
      <c r="P13" t="s">
        <v>40</v>
      </c>
      <c r="Q13" t="s">
        <v>41</v>
      </c>
      <c r="R13" t="s">
        <v>42</v>
      </c>
      <c r="S13">
        <v>0</v>
      </c>
    </row>
    <row r="14" spans="1:19" x14ac:dyDescent="0.3">
      <c r="A14">
        <v>13</v>
      </c>
      <c r="B14">
        <v>1</v>
      </c>
      <c r="C14">
        <v>4</v>
      </c>
      <c r="D14">
        <v>2.2000000000000002</v>
      </c>
      <c r="E14">
        <v>0</v>
      </c>
      <c r="I14" t="s">
        <v>33</v>
      </c>
      <c r="J14" t="s">
        <v>34</v>
      </c>
      <c r="K14" t="s">
        <v>59</v>
      </c>
      <c r="L14" t="s">
        <v>36</v>
      </c>
      <c r="M14" t="s">
        <v>56</v>
      </c>
      <c r="N14" t="s">
        <v>38</v>
      </c>
      <c r="O14" t="s">
        <v>56</v>
      </c>
      <c r="P14" t="s">
        <v>40</v>
      </c>
      <c r="Q14" t="s">
        <v>60</v>
      </c>
      <c r="R14" t="s">
        <v>42</v>
      </c>
      <c r="S14">
        <v>0</v>
      </c>
    </row>
    <row r="15" spans="1:19" x14ac:dyDescent="0.3">
      <c r="A15">
        <v>14</v>
      </c>
      <c r="B15">
        <v>2</v>
      </c>
      <c r="C15">
        <v>4</v>
      </c>
      <c r="D15">
        <v>2.4</v>
      </c>
      <c r="E15">
        <v>0</v>
      </c>
      <c r="I15" t="s">
        <v>33</v>
      </c>
      <c r="J15" t="s">
        <v>34</v>
      </c>
      <c r="K15" t="s">
        <v>61</v>
      </c>
      <c r="L15" t="s">
        <v>36</v>
      </c>
      <c r="M15" t="s">
        <v>44</v>
      </c>
      <c r="N15" t="s">
        <v>38</v>
      </c>
      <c r="O15" t="s">
        <v>56</v>
      </c>
      <c r="P15" t="s">
        <v>40</v>
      </c>
      <c r="Q15" t="s">
        <v>62</v>
      </c>
      <c r="R15" t="s">
        <v>42</v>
      </c>
      <c r="S15">
        <v>0</v>
      </c>
    </row>
    <row r="16" spans="1:19" x14ac:dyDescent="0.3">
      <c r="A16">
        <v>15</v>
      </c>
      <c r="B16">
        <v>3</v>
      </c>
      <c r="C16">
        <v>4</v>
      </c>
      <c r="D16">
        <v>2.5</v>
      </c>
      <c r="E16">
        <v>0</v>
      </c>
      <c r="I16" t="s">
        <v>33</v>
      </c>
      <c r="J16" t="s">
        <v>34</v>
      </c>
      <c r="K16" t="s">
        <v>63</v>
      </c>
      <c r="L16" t="s">
        <v>36</v>
      </c>
      <c r="M16" t="s">
        <v>54</v>
      </c>
      <c r="N16" t="s">
        <v>38</v>
      </c>
      <c r="O16" t="s">
        <v>56</v>
      </c>
      <c r="P16" t="s">
        <v>40</v>
      </c>
      <c r="Q16" t="s">
        <v>51</v>
      </c>
      <c r="R16" t="s">
        <v>42</v>
      </c>
      <c r="S16">
        <v>0</v>
      </c>
    </row>
    <row r="17" spans="1:19" x14ac:dyDescent="0.3">
      <c r="A17">
        <v>16</v>
      </c>
      <c r="B17">
        <v>4</v>
      </c>
      <c r="C17">
        <v>4</v>
      </c>
      <c r="D17">
        <v>2.6</v>
      </c>
      <c r="E17">
        <v>0</v>
      </c>
      <c r="I17" t="s">
        <v>33</v>
      </c>
      <c r="J17" t="s">
        <v>34</v>
      </c>
      <c r="K17" t="s">
        <v>64</v>
      </c>
      <c r="L17" t="s">
        <v>36</v>
      </c>
      <c r="M17" t="s">
        <v>65</v>
      </c>
      <c r="N17" t="s">
        <v>38</v>
      </c>
      <c r="O17" t="s">
        <v>56</v>
      </c>
      <c r="P17" t="s">
        <v>40</v>
      </c>
      <c r="Q17" t="s">
        <v>51</v>
      </c>
      <c r="R17" t="s">
        <v>42</v>
      </c>
      <c r="S17">
        <v>0</v>
      </c>
    </row>
    <row r="18" spans="1:19" x14ac:dyDescent="0.3">
      <c r="A18">
        <v>17</v>
      </c>
      <c r="B18">
        <v>5</v>
      </c>
      <c r="C18">
        <v>4</v>
      </c>
      <c r="D18">
        <v>2.6</v>
      </c>
      <c r="E18">
        <v>0</v>
      </c>
      <c r="I18" t="s">
        <v>33</v>
      </c>
      <c r="J18" t="s">
        <v>34</v>
      </c>
      <c r="K18" t="s">
        <v>66</v>
      </c>
      <c r="L18" t="s">
        <v>36</v>
      </c>
      <c r="M18" t="s">
        <v>39</v>
      </c>
      <c r="N18" t="s">
        <v>38</v>
      </c>
      <c r="O18" t="s">
        <v>44</v>
      </c>
      <c r="P18" t="s">
        <v>40</v>
      </c>
      <c r="Q18" t="s">
        <v>67</v>
      </c>
      <c r="R18" t="s">
        <v>42</v>
      </c>
      <c r="S18">
        <v>0</v>
      </c>
    </row>
    <row r="19" spans="1:19" x14ac:dyDescent="0.3">
      <c r="A19">
        <v>18</v>
      </c>
      <c r="B19">
        <v>1</v>
      </c>
      <c r="C19">
        <v>5</v>
      </c>
      <c r="D19">
        <v>2.2000000000000002</v>
      </c>
      <c r="E19">
        <v>0</v>
      </c>
      <c r="I19" t="s">
        <v>33</v>
      </c>
      <c r="J19" t="s">
        <v>34</v>
      </c>
      <c r="K19" t="s">
        <v>68</v>
      </c>
      <c r="L19" t="s">
        <v>36</v>
      </c>
      <c r="M19" t="s">
        <v>37</v>
      </c>
      <c r="N19" t="s">
        <v>38</v>
      </c>
      <c r="O19" t="s">
        <v>44</v>
      </c>
      <c r="P19" t="s">
        <v>40</v>
      </c>
      <c r="Q19" t="s">
        <v>69</v>
      </c>
      <c r="R19" t="s">
        <v>42</v>
      </c>
      <c r="S19">
        <v>0</v>
      </c>
    </row>
    <row r="20" spans="1:19" x14ac:dyDescent="0.3">
      <c r="A20">
        <v>19</v>
      </c>
      <c r="B20">
        <v>2</v>
      </c>
      <c r="C20">
        <v>5</v>
      </c>
      <c r="D20">
        <v>2.4</v>
      </c>
      <c r="E20">
        <v>0</v>
      </c>
      <c r="I20" t="s">
        <v>33</v>
      </c>
      <c r="J20" t="s">
        <v>34</v>
      </c>
      <c r="K20" t="s">
        <v>70</v>
      </c>
      <c r="L20" t="s">
        <v>36</v>
      </c>
      <c r="M20" t="s">
        <v>56</v>
      </c>
      <c r="N20" t="s">
        <v>38</v>
      </c>
      <c r="O20" t="s">
        <v>44</v>
      </c>
      <c r="P20" t="s">
        <v>40</v>
      </c>
      <c r="Q20" t="s">
        <v>41</v>
      </c>
      <c r="R20" t="s">
        <v>42</v>
      </c>
      <c r="S20">
        <v>0</v>
      </c>
    </row>
    <row r="21" spans="1:19" x14ac:dyDescent="0.3">
      <c r="A21">
        <v>20</v>
      </c>
      <c r="B21">
        <v>3</v>
      </c>
      <c r="C21">
        <v>5</v>
      </c>
      <c r="D21">
        <v>2.5</v>
      </c>
      <c r="E21">
        <v>0</v>
      </c>
      <c r="I21" t="s">
        <v>33</v>
      </c>
      <c r="J21" t="s">
        <v>34</v>
      </c>
      <c r="K21" t="s">
        <v>71</v>
      </c>
      <c r="L21" t="s">
        <v>36</v>
      </c>
      <c r="M21" t="s">
        <v>44</v>
      </c>
      <c r="N21" t="s">
        <v>38</v>
      </c>
      <c r="O21" t="s">
        <v>44</v>
      </c>
      <c r="P21" t="s">
        <v>40</v>
      </c>
      <c r="Q21" t="s">
        <v>45</v>
      </c>
      <c r="R21" t="s">
        <v>42</v>
      </c>
      <c r="S21">
        <v>0</v>
      </c>
    </row>
    <row r="22" spans="1:19" x14ac:dyDescent="0.3">
      <c r="A22">
        <v>21</v>
      </c>
      <c r="B22">
        <v>4</v>
      </c>
      <c r="C22">
        <v>5</v>
      </c>
      <c r="D22">
        <v>2.4500000000000002</v>
      </c>
      <c r="E22">
        <v>0</v>
      </c>
      <c r="I22" t="s">
        <v>33</v>
      </c>
      <c r="J22" t="s">
        <v>34</v>
      </c>
      <c r="K22" t="s">
        <v>72</v>
      </c>
      <c r="L22" t="s">
        <v>36</v>
      </c>
      <c r="M22" t="s">
        <v>54</v>
      </c>
      <c r="N22" t="s">
        <v>38</v>
      </c>
      <c r="O22" t="s">
        <v>44</v>
      </c>
      <c r="P22" t="s">
        <v>40</v>
      </c>
      <c r="Q22" t="s">
        <v>45</v>
      </c>
      <c r="R22" t="s">
        <v>42</v>
      </c>
      <c r="S22">
        <v>0</v>
      </c>
    </row>
    <row r="23" spans="1:19" x14ac:dyDescent="0.3">
      <c r="A23">
        <v>22</v>
      </c>
      <c r="B23">
        <v>5</v>
      </c>
      <c r="C23">
        <v>5</v>
      </c>
      <c r="D23">
        <v>2.4</v>
      </c>
      <c r="E23">
        <v>0</v>
      </c>
      <c r="I23" t="s">
        <v>33</v>
      </c>
      <c r="J23" t="s">
        <v>34</v>
      </c>
      <c r="K23" t="s">
        <v>73</v>
      </c>
      <c r="L23" t="s">
        <v>36</v>
      </c>
      <c r="M23" t="s">
        <v>39</v>
      </c>
      <c r="N23" t="s">
        <v>38</v>
      </c>
      <c r="O23" t="s">
        <v>54</v>
      </c>
      <c r="P23" t="s">
        <v>40</v>
      </c>
      <c r="Q23" t="s">
        <v>67</v>
      </c>
      <c r="R23" t="s">
        <v>42</v>
      </c>
      <c r="S23">
        <v>0</v>
      </c>
    </row>
    <row r="24" spans="1:19" x14ac:dyDescent="0.3">
      <c r="A24">
        <v>23</v>
      </c>
      <c r="B24">
        <v>6</v>
      </c>
      <c r="C24">
        <v>5</v>
      </c>
      <c r="D24">
        <v>2.35</v>
      </c>
      <c r="E24">
        <v>0</v>
      </c>
      <c r="I24" t="s">
        <v>33</v>
      </c>
      <c r="J24" t="s">
        <v>34</v>
      </c>
      <c r="K24" t="s">
        <v>74</v>
      </c>
      <c r="L24" t="s">
        <v>36</v>
      </c>
      <c r="M24" t="s">
        <v>37</v>
      </c>
      <c r="N24" t="s">
        <v>38</v>
      </c>
      <c r="O24" t="s">
        <v>54</v>
      </c>
      <c r="P24" t="s">
        <v>40</v>
      </c>
      <c r="Q24" t="s">
        <v>69</v>
      </c>
      <c r="R24" t="s">
        <v>42</v>
      </c>
      <c r="S24">
        <v>0</v>
      </c>
    </row>
    <row r="25" spans="1:19" x14ac:dyDescent="0.3">
      <c r="A25">
        <v>24</v>
      </c>
      <c r="B25">
        <v>7</v>
      </c>
      <c r="C25">
        <v>5</v>
      </c>
      <c r="D25">
        <v>2.2999999999999998</v>
      </c>
      <c r="E25">
        <v>0</v>
      </c>
      <c r="I25" t="s">
        <v>33</v>
      </c>
      <c r="J25" t="s">
        <v>34</v>
      </c>
      <c r="K25" t="s">
        <v>75</v>
      </c>
      <c r="L25" t="s">
        <v>36</v>
      </c>
      <c r="M25" t="s">
        <v>56</v>
      </c>
      <c r="N25" t="s">
        <v>38</v>
      </c>
      <c r="O25" t="s">
        <v>54</v>
      </c>
      <c r="P25" t="s">
        <v>40</v>
      </c>
      <c r="Q25" t="s">
        <v>41</v>
      </c>
      <c r="R25" t="s">
        <v>42</v>
      </c>
      <c r="S25">
        <v>0</v>
      </c>
    </row>
    <row r="26" spans="1:19" x14ac:dyDescent="0.3">
      <c r="A26">
        <v>25</v>
      </c>
      <c r="B26">
        <v>1</v>
      </c>
      <c r="C26">
        <v>6</v>
      </c>
      <c r="D26">
        <v>2.1</v>
      </c>
      <c r="E26">
        <v>0</v>
      </c>
      <c r="I26" t="s">
        <v>33</v>
      </c>
      <c r="J26" t="s">
        <v>34</v>
      </c>
      <c r="K26" t="s">
        <v>76</v>
      </c>
      <c r="L26" t="s">
        <v>36</v>
      </c>
      <c r="M26" t="s">
        <v>44</v>
      </c>
      <c r="N26" t="s">
        <v>38</v>
      </c>
      <c r="O26" t="s">
        <v>54</v>
      </c>
      <c r="P26" t="s">
        <v>40</v>
      </c>
      <c r="Q26" t="s">
        <v>77</v>
      </c>
      <c r="R26" t="s">
        <v>42</v>
      </c>
      <c r="S26">
        <v>0</v>
      </c>
    </row>
    <row r="27" spans="1:19" x14ac:dyDescent="0.3">
      <c r="A27">
        <v>26</v>
      </c>
      <c r="B27">
        <v>2</v>
      </c>
      <c r="C27">
        <v>6</v>
      </c>
      <c r="D27">
        <v>2.4</v>
      </c>
      <c r="E27">
        <v>0</v>
      </c>
      <c r="I27" t="s">
        <v>33</v>
      </c>
      <c r="J27" t="s">
        <v>34</v>
      </c>
      <c r="K27" t="s">
        <v>78</v>
      </c>
      <c r="L27" t="s">
        <v>36</v>
      </c>
      <c r="M27" t="s">
        <v>54</v>
      </c>
      <c r="N27" t="s">
        <v>38</v>
      </c>
      <c r="O27" t="s">
        <v>54</v>
      </c>
      <c r="P27" t="s">
        <v>40</v>
      </c>
      <c r="Q27" t="s">
        <v>69</v>
      </c>
      <c r="R27" t="s">
        <v>42</v>
      </c>
      <c r="S27">
        <v>0</v>
      </c>
    </row>
    <row r="28" spans="1:19" x14ac:dyDescent="0.3">
      <c r="A28">
        <v>27</v>
      </c>
      <c r="B28">
        <v>3</v>
      </c>
      <c r="C28">
        <v>6</v>
      </c>
      <c r="D28">
        <v>2.4</v>
      </c>
      <c r="E28">
        <v>0</v>
      </c>
      <c r="I28" t="s">
        <v>33</v>
      </c>
      <c r="J28" t="s">
        <v>34</v>
      </c>
      <c r="K28" t="s">
        <v>79</v>
      </c>
      <c r="L28" t="s">
        <v>36</v>
      </c>
      <c r="M28" t="s">
        <v>65</v>
      </c>
      <c r="N28" t="s">
        <v>38</v>
      </c>
      <c r="O28" t="s">
        <v>54</v>
      </c>
      <c r="P28" t="s">
        <v>40</v>
      </c>
      <c r="Q28" t="s">
        <v>80</v>
      </c>
      <c r="R28" t="s">
        <v>42</v>
      </c>
      <c r="S28">
        <v>0</v>
      </c>
    </row>
    <row r="29" spans="1:19" x14ac:dyDescent="0.3">
      <c r="A29">
        <v>28</v>
      </c>
      <c r="B29">
        <v>4</v>
      </c>
      <c r="C29">
        <v>6</v>
      </c>
      <c r="D29">
        <v>2.25</v>
      </c>
      <c r="E29">
        <v>0</v>
      </c>
      <c r="I29" t="s">
        <v>33</v>
      </c>
      <c r="J29" t="s">
        <v>34</v>
      </c>
      <c r="K29" t="s">
        <v>81</v>
      </c>
      <c r="L29" t="s">
        <v>36</v>
      </c>
      <c r="M29" t="s">
        <v>50</v>
      </c>
      <c r="N29" t="s">
        <v>38</v>
      </c>
      <c r="O29" t="s">
        <v>54</v>
      </c>
      <c r="P29" t="s">
        <v>40</v>
      </c>
      <c r="Q29" t="s">
        <v>57</v>
      </c>
      <c r="R29" t="s">
        <v>42</v>
      </c>
      <c r="S29">
        <v>0</v>
      </c>
    </row>
    <row r="30" spans="1:19" x14ac:dyDescent="0.3">
      <c r="A30">
        <v>29</v>
      </c>
      <c r="B30">
        <v>5</v>
      </c>
      <c r="C30">
        <v>6</v>
      </c>
      <c r="D30">
        <v>2.2000000000000002</v>
      </c>
      <c r="E30">
        <v>0</v>
      </c>
      <c r="I30" t="s">
        <v>33</v>
      </c>
      <c r="J30" t="s">
        <v>34</v>
      </c>
      <c r="K30" t="s">
        <v>82</v>
      </c>
      <c r="L30" t="s">
        <v>36</v>
      </c>
      <c r="M30" t="s">
        <v>39</v>
      </c>
      <c r="N30" t="s">
        <v>38</v>
      </c>
      <c r="O30" t="s">
        <v>65</v>
      </c>
      <c r="P30" t="s">
        <v>40</v>
      </c>
      <c r="Q30" t="s">
        <v>83</v>
      </c>
      <c r="R30" t="s">
        <v>42</v>
      </c>
      <c r="S30">
        <v>0</v>
      </c>
    </row>
    <row r="31" spans="1:19" x14ac:dyDescent="0.3">
      <c r="A31">
        <v>30</v>
      </c>
      <c r="B31">
        <v>1</v>
      </c>
      <c r="C31">
        <v>7</v>
      </c>
      <c r="D31">
        <v>2.1</v>
      </c>
      <c r="E31">
        <v>0</v>
      </c>
      <c r="I31" t="s">
        <v>33</v>
      </c>
      <c r="J31" t="s">
        <v>34</v>
      </c>
      <c r="K31" t="s">
        <v>84</v>
      </c>
      <c r="L31" t="s">
        <v>36</v>
      </c>
      <c r="M31" t="s">
        <v>37</v>
      </c>
      <c r="N31" t="s">
        <v>38</v>
      </c>
      <c r="O31" t="s">
        <v>65</v>
      </c>
      <c r="P31" t="s">
        <v>40</v>
      </c>
      <c r="Q31" t="s">
        <v>69</v>
      </c>
      <c r="R31" t="s">
        <v>42</v>
      </c>
      <c r="S31">
        <v>0</v>
      </c>
    </row>
    <row r="32" spans="1:19" x14ac:dyDescent="0.3">
      <c r="A32">
        <v>31</v>
      </c>
      <c r="B32">
        <v>2</v>
      </c>
      <c r="C32">
        <v>7</v>
      </c>
      <c r="D32">
        <v>2</v>
      </c>
      <c r="E32">
        <v>0</v>
      </c>
      <c r="I32" t="s">
        <v>33</v>
      </c>
      <c r="J32" t="s">
        <v>34</v>
      </c>
      <c r="K32" t="s">
        <v>85</v>
      </c>
      <c r="L32" t="s">
        <v>36</v>
      </c>
      <c r="M32" t="s">
        <v>56</v>
      </c>
      <c r="N32" t="s">
        <v>38</v>
      </c>
      <c r="O32" t="s">
        <v>65</v>
      </c>
      <c r="P32" t="s">
        <v>40</v>
      </c>
      <c r="Q32" t="s">
        <v>69</v>
      </c>
      <c r="R32" t="s">
        <v>42</v>
      </c>
      <c r="S32">
        <v>0</v>
      </c>
    </row>
    <row r="33" spans="1:19" x14ac:dyDescent="0.3">
      <c r="A33">
        <v>32</v>
      </c>
      <c r="B33">
        <v>3</v>
      </c>
      <c r="C33">
        <v>7</v>
      </c>
      <c r="D33">
        <v>2</v>
      </c>
      <c r="E33">
        <v>0</v>
      </c>
      <c r="I33" t="s">
        <v>33</v>
      </c>
      <c r="J33" t="s">
        <v>34</v>
      </c>
      <c r="K33" t="s">
        <v>86</v>
      </c>
      <c r="L33" t="s">
        <v>36</v>
      </c>
      <c r="M33" t="s">
        <v>44</v>
      </c>
      <c r="N33" t="s">
        <v>38</v>
      </c>
      <c r="O33" t="s">
        <v>65</v>
      </c>
      <c r="P33" t="s">
        <v>40</v>
      </c>
      <c r="Q33" t="s">
        <v>87</v>
      </c>
      <c r="R33" t="s">
        <v>42</v>
      </c>
      <c r="S33">
        <v>0</v>
      </c>
    </row>
    <row r="34" spans="1:19" x14ac:dyDescent="0.3">
      <c r="A34">
        <v>33</v>
      </c>
      <c r="B34">
        <v>4</v>
      </c>
      <c r="C34">
        <v>7</v>
      </c>
      <c r="D34">
        <v>1.95</v>
      </c>
      <c r="E34">
        <v>0</v>
      </c>
      <c r="I34" t="s">
        <v>33</v>
      </c>
      <c r="J34" t="s">
        <v>34</v>
      </c>
      <c r="K34" t="s">
        <v>88</v>
      </c>
      <c r="L34" t="s">
        <v>36</v>
      </c>
      <c r="M34" t="s">
        <v>54</v>
      </c>
      <c r="N34" t="s">
        <v>38</v>
      </c>
      <c r="O34" t="s">
        <v>65</v>
      </c>
      <c r="P34" t="s">
        <v>40</v>
      </c>
      <c r="Q34" t="s">
        <v>67</v>
      </c>
      <c r="R34" t="s">
        <v>42</v>
      </c>
      <c r="S34">
        <v>0</v>
      </c>
    </row>
    <row r="35" spans="1:19" x14ac:dyDescent="0.3">
      <c r="A35">
        <v>34</v>
      </c>
      <c r="B35">
        <v>5</v>
      </c>
      <c r="C35">
        <v>7</v>
      </c>
      <c r="D35">
        <v>2</v>
      </c>
      <c r="E35">
        <v>0</v>
      </c>
      <c r="I35" t="s">
        <v>33</v>
      </c>
      <c r="J35" t="s">
        <v>34</v>
      </c>
      <c r="K35" t="s">
        <v>89</v>
      </c>
      <c r="L35" t="s">
        <v>36</v>
      </c>
      <c r="M35" t="s">
        <v>39</v>
      </c>
      <c r="N35" t="s">
        <v>38</v>
      </c>
      <c r="O35" t="s">
        <v>50</v>
      </c>
      <c r="P35" t="s">
        <v>40</v>
      </c>
      <c r="Q35" t="s">
        <v>83</v>
      </c>
      <c r="R35" t="s">
        <v>42</v>
      </c>
      <c r="S35">
        <v>0</v>
      </c>
    </row>
    <row r="36" spans="1:19" x14ac:dyDescent="0.3">
      <c r="A36">
        <v>35</v>
      </c>
      <c r="B36">
        <v>6</v>
      </c>
      <c r="C36">
        <v>7</v>
      </c>
      <c r="D36">
        <v>1.95</v>
      </c>
      <c r="E36">
        <v>0</v>
      </c>
      <c r="I36" t="s">
        <v>33</v>
      </c>
      <c r="J36" t="s">
        <v>34</v>
      </c>
      <c r="K36" t="s">
        <v>90</v>
      </c>
      <c r="L36" t="s">
        <v>36</v>
      </c>
      <c r="M36" t="s">
        <v>37</v>
      </c>
      <c r="N36" t="s">
        <v>38</v>
      </c>
      <c r="O36" t="s">
        <v>50</v>
      </c>
      <c r="P36" t="s">
        <v>40</v>
      </c>
      <c r="Q36" t="s">
        <v>37</v>
      </c>
      <c r="R36" t="s">
        <v>42</v>
      </c>
      <c r="S36">
        <v>0</v>
      </c>
    </row>
    <row r="37" spans="1:19" x14ac:dyDescent="0.3">
      <c r="A37">
        <v>36</v>
      </c>
      <c r="B37">
        <v>7</v>
      </c>
      <c r="C37">
        <v>7</v>
      </c>
      <c r="D37">
        <v>1.9</v>
      </c>
      <c r="E37">
        <v>0</v>
      </c>
      <c r="I37" t="s">
        <v>33</v>
      </c>
      <c r="J37" t="s">
        <v>34</v>
      </c>
      <c r="K37" t="s">
        <v>91</v>
      </c>
      <c r="L37" t="s">
        <v>36</v>
      </c>
      <c r="M37" t="s">
        <v>56</v>
      </c>
      <c r="N37" t="s">
        <v>38</v>
      </c>
      <c r="O37" t="s">
        <v>50</v>
      </c>
      <c r="P37" t="s">
        <v>40</v>
      </c>
      <c r="Q37" t="s">
        <v>37</v>
      </c>
      <c r="R37" t="s">
        <v>42</v>
      </c>
      <c r="S37">
        <v>0</v>
      </c>
    </row>
    <row r="38" spans="1:19" x14ac:dyDescent="0.3">
      <c r="A38">
        <v>37</v>
      </c>
      <c r="B38">
        <v>5</v>
      </c>
      <c r="C38">
        <v>8</v>
      </c>
      <c r="D38">
        <v>2.0499999999999998</v>
      </c>
      <c r="E38">
        <v>0</v>
      </c>
      <c r="I38" t="s">
        <v>33</v>
      </c>
      <c r="J38" t="s">
        <v>34</v>
      </c>
      <c r="K38" t="s">
        <v>92</v>
      </c>
      <c r="L38" t="s">
        <v>36</v>
      </c>
      <c r="M38" t="s">
        <v>44</v>
      </c>
      <c r="N38" t="s">
        <v>38</v>
      </c>
      <c r="O38" t="s">
        <v>50</v>
      </c>
      <c r="P38" t="s">
        <v>40</v>
      </c>
      <c r="Q38" t="s">
        <v>93</v>
      </c>
      <c r="R38" t="s">
        <v>42</v>
      </c>
      <c r="S38">
        <v>0</v>
      </c>
    </row>
    <row r="39" spans="1:19" x14ac:dyDescent="0.3">
      <c r="A39">
        <v>38</v>
      </c>
      <c r="B39">
        <v>1</v>
      </c>
      <c r="C39">
        <v>9</v>
      </c>
      <c r="D39">
        <v>2.2000000000000002</v>
      </c>
      <c r="E39">
        <v>0</v>
      </c>
      <c r="I39" t="s">
        <v>33</v>
      </c>
      <c r="J39" t="s">
        <v>34</v>
      </c>
      <c r="K39" t="s">
        <v>94</v>
      </c>
      <c r="L39" t="s">
        <v>36</v>
      </c>
      <c r="M39" t="s">
        <v>54</v>
      </c>
      <c r="N39" t="s">
        <v>38</v>
      </c>
      <c r="O39" t="s">
        <v>50</v>
      </c>
      <c r="P39" t="s">
        <v>40</v>
      </c>
      <c r="Q39" t="s">
        <v>37</v>
      </c>
      <c r="R39" t="s">
        <v>42</v>
      </c>
      <c r="S39">
        <v>0</v>
      </c>
    </row>
    <row r="40" spans="1:19" x14ac:dyDescent="0.3">
      <c r="A40">
        <v>39</v>
      </c>
      <c r="B40">
        <v>2</v>
      </c>
      <c r="C40">
        <v>9</v>
      </c>
      <c r="D40">
        <v>2.1</v>
      </c>
      <c r="E40">
        <v>0</v>
      </c>
      <c r="I40" t="s">
        <v>33</v>
      </c>
      <c r="J40" t="s">
        <v>34</v>
      </c>
      <c r="K40" t="s">
        <v>95</v>
      </c>
      <c r="L40" t="s">
        <v>36</v>
      </c>
      <c r="M40" t="s">
        <v>65</v>
      </c>
      <c r="N40" t="s">
        <v>38</v>
      </c>
      <c r="O40" t="s">
        <v>50</v>
      </c>
      <c r="P40" t="s">
        <v>40</v>
      </c>
      <c r="Q40" t="s">
        <v>93</v>
      </c>
      <c r="R40" t="s">
        <v>42</v>
      </c>
      <c r="S40">
        <v>0</v>
      </c>
    </row>
    <row r="41" spans="1:19" x14ac:dyDescent="0.3">
      <c r="A41">
        <v>40</v>
      </c>
      <c r="B41">
        <v>3</v>
      </c>
      <c r="C41">
        <v>9</v>
      </c>
      <c r="D41">
        <v>2</v>
      </c>
      <c r="E41">
        <v>0</v>
      </c>
      <c r="I41" t="s">
        <v>33</v>
      </c>
      <c r="J41" t="s">
        <v>34</v>
      </c>
      <c r="K41" t="s">
        <v>96</v>
      </c>
      <c r="L41" t="s">
        <v>36</v>
      </c>
      <c r="M41" t="s">
        <v>50</v>
      </c>
      <c r="N41" t="s">
        <v>38</v>
      </c>
      <c r="O41" t="s">
        <v>50</v>
      </c>
      <c r="P41" t="s">
        <v>40</v>
      </c>
      <c r="Q41" t="s">
        <v>97</v>
      </c>
      <c r="R41" t="s">
        <v>42</v>
      </c>
      <c r="S41">
        <v>0</v>
      </c>
    </row>
    <row r="42" spans="1:19" x14ac:dyDescent="0.3">
      <c r="A42">
        <v>41</v>
      </c>
      <c r="B42">
        <v>4</v>
      </c>
      <c r="C42">
        <v>9</v>
      </c>
      <c r="D42">
        <v>2.1</v>
      </c>
      <c r="E42">
        <v>0</v>
      </c>
      <c r="I42" t="s">
        <v>33</v>
      </c>
      <c r="J42" t="s">
        <v>34</v>
      </c>
      <c r="K42" t="s">
        <v>98</v>
      </c>
      <c r="L42" t="s">
        <v>36</v>
      </c>
      <c r="M42" t="s">
        <v>54</v>
      </c>
      <c r="N42" t="s">
        <v>38</v>
      </c>
      <c r="O42" t="s">
        <v>99</v>
      </c>
      <c r="P42" t="s">
        <v>40</v>
      </c>
      <c r="Q42" t="s">
        <v>100</v>
      </c>
      <c r="R42" t="s">
        <v>42</v>
      </c>
      <c r="S42">
        <v>0</v>
      </c>
    </row>
    <row r="43" spans="1:19" x14ac:dyDescent="0.3">
      <c r="A43">
        <v>42</v>
      </c>
      <c r="B43">
        <v>5</v>
      </c>
      <c r="C43">
        <v>9</v>
      </c>
      <c r="D43">
        <v>2.1</v>
      </c>
      <c r="E43">
        <v>0</v>
      </c>
      <c r="I43" t="s">
        <v>33</v>
      </c>
      <c r="J43" t="s">
        <v>34</v>
      </c>
      <c r="K43" t="s">
        <v>101</v>
      </c>
      <c r="L43" t="s">
        <v>36</v>
      </c>
      <c r="M43" t="s">
        <v>39</v>
      </c>
      <c r="N43" t="s">
        <v>38</v>
      </c>
      <c r="O43" t="s">
        <v>102</v>
      </c>
      <c r="P43" t="s">
        <v>40</v>
      </c>
      <c r="Q43" t="s">
        <v>67</v>
      </c>
      <c r="R43" t="s">
        <v>42</v>
      </c>
      <c r="S43">
        <v>0</v>
      </c>
    </row>
    <row r="44" spans="1:19" x14ac:dyDescent="0.3">
      <c r="A44">
        <v>43</v>
      </c>
      <c r="B44">
        <v>6</v>
      </c>
      <c r="C44">
        <v>9</v>
      </c>
      <c r="D44">
        <v>2</v>
      </c>
      <c r="E44">
        <v>0</v>
      </c>
      <c r="I44" t="s">
        <v>33</v>
      </c>
      <c r="J44" t="s">
        <v>34</v>
      </c>
      <c r="K44" t="s">
        <v>103</v>
      </c>
      <c r="L44" t="s">
        <v>36</v>
      </c>
      <c r="M44" t="s">
        <v>37</v>
      </c>
      <c r="N44" t="s">
        <v>38</v>
      </c>
      <c r="O44" t="s">
        <v>102</v>
      </c>
      <c r="P44" t="s">
        <v>40</v>
      </c>
      <c r="Q44" t="s">
        <v>83</v>
      </c>
      <c r="R44" t="s">
        <v>42</v>
      </c>
      <c r="S44">
        <v>0</v>
      </c>
    </row>
    <row r="45" spans="1:19" x14ac:dyDescent="0.3">
      <c r="A45">
        <v>44</v>
      </c>
      <c r="B45">
        <v>7</v>
      </c>
      <c r="C45">
        <v>9</v>
      </c>
      <c r="D45">
        <v>2</v>
      </c>
      <c r="E45">
        <v>0</v>
      </c>
      <c r="I45" t="s">
        <v>33</v>
      </c>
      <c r="J45" t="s">
        <v>34</v>
      </c>
      <c r="K45" t="s">
        <v>104</v>
      </c>
      <c r="L45" t="s">
        <v>36</v>
      </c>
      <c r="M45" t="s">
        <v>56</v>
      </c>
      <c r="N45" t="s">
        <v>38</v>
      </c>
      <c r="O45" t="s">
        <v>102</v>
      </c>
      <c r="P45" t="s">
        <v>40</v>
      </c>
      <c r="Q45" t="s">
        <v>37</v>
      </c>
      <c r="R45" t="s">
        <v>42</v>
      </c>
      <c r="S45">
        <v>0</v>
      </c>
    </row>
    <row r="46" spans="1:19" x14ac:dyDescent="0.3">
      <c r="A46">
        <v>45</v>
      </c>
      <c r="B46">
        <v>2</v>
      </c>
      <c r="C46">
        <v>10</v>
      </c>
      <c r="D46">
        <v>2.2000000000000002</v>
      </c>
      <c r="E46">
        <v>0</v>
      </c>
      <c r="I46" t="s">
        <v>33</v>
      </c>
      <c r="J46" t="s">
        <v>34</v>
      </c>
      <c r="K46" t="s">
        <v>105</v>
      </c>
      <c r="L46" t="s">
        <v>36</v>
      </c>
      <c r="M46" t="s">
        <v>44</v>
      </c>
      <c r="N46" t="s">
        <v>38</v>
      </c>
      <c r="O46" t="s">
        <v>102</v>
      </c>
      <c r="P46" t="s">
        <v>40</v>
      </c>
      <c r="Q46" t="s">
        <v>83</v>
      </c>
      <c r="R46" t="s">
        <v>42</v>
      </c>
      <c r="S46">
        <v>0</v>
      </c>
    </row>
    <row r="47" spans="1:19" x14ac:dyDescent="0.3">
      <c r="A47">
        <v>46</v>
      </c>
      <c r="B47">
        <v>3</v>
      </c>
      <c r="C47">
        <v>10</v>
      </c>
      <c r="D47">
        <v>2.1</v>
      </c>
      <c r="E47">
        <v>0</v>
      </c>
      <c r="I47" t="s">
        <v>33</v>
      </c>
      <c r="J47" t="s">
        <v>34</v>
      </c>
      <c r="K47" t="s">
        <v>106</v>
      </c>
      <c r="L47" t="s">
        <v>36</v>
      </c>
      <c r="M47" t="s">
        <v>54</v>
      </c>
      <c r="N47" t="s">
        <v>38</v>
      </c>
      <c r="O47" t="s">
        <v>102</v>
      </c>
      <c r="P47" t="s">
        <v>40</v>
      </c>
      <c r="Q47" t="s">
        <v>83</v>
      </c>
      <c r="R47" t="s">
        <v>42</v>
      </c>
      <c r="S47">
        <v>0</v>
      </c>
    </row>
    <row r="48" spans="1:19" x14ac:dyDescent="0.3">
      <c r="A48">
        <v>47</v>
      </c>
      <c r="B48">
        <v>4</v>
      </c>
      <c r="C48">
        <v>10</v>
      </c>
      <c r="D48">
        <v>2.2000000000000002</v>
      </c>
      <c r="E48">
        <v>0</v>
      </c>
      <c r="I48" t="s">
        <v>33</v>
      </c>
      <c r="J48" t="s">
        <v>34</v>
      </c>
      <c r="K48" t="s">
        <v>107</v>
      </c>
      <c r="L48" t="s">
        <v>36</v>
      </c>
      <c r="M48" t="s">
        <v>65</v>
      </c>
      <c r="N48" t="s">
        <v>38</v>
      </c>
      <c r="O48" t="s">
        <v>102</v>
      </c>
      <c r="P48" t="s">
        <v>40</v>
      </c>
      <c r="Q48" t="s">
        <v>37</v>
      </c>
      <c r="R48" t="s">
        <v>42</v>
      </c>
      <c r="S48">
        <v>0</v>
      </c>
    </row>
    <row r="49" spans="1:19" x14ac:dyDescent="0.3">
      <c r="A49">
        <v>48</v>
      </c>
      <c r="B49">
        <v>5</v>
      </c>
      <c r="C49">
        <v>10</v>
      </c>
      <c r="D49">
        <v>2.1</v>
      </c>
      <c r="E49">
        <v>0</v>
      </c>
      <c r="I49" t="s">
        <v>33</v>
      </c>
      <c r="J49" t="s">
        <v>34</v>
      </c>
      <c r="K49" t="s">
        <v>108</v>
      </c>
      <c r="L49" t="s">
        <v>36</v>
      </c>
      <c r="M49" t="s">
        <v>50</v>
      </c>
      <c r="N49" t="s">
        <v>38</v>
      </c>
      <c r="O49" t="s">
        <v>102</v>
      </c>
      <c r="P49" t="s">
        <v>40</v>
      </c>
      <c r="Q49" t="s">
        <v>37</v>
      </c>
      <c r="R49" t="s">
        <v>42</v>
      </c>
      <c r="S49">
        <v>0</v>
      </c>
    </row>
    <row r="50" spans="1:19" x14ac:dyDescent="0.3">
      <c r="A50">
        <v>49</v>
      </c>
      <c r="B50">
        <v>6</v>
      </c>
      <c r="C50">
        <v>10</v>
      </c>
      <c r="D50">
        <v>2.1</v>
      </c>
      <c r="E50">
        <v>0</v>
      </c>
      <c r="I50" t="s">
        <v>33</v>
      </c>
      <c r="J50" t="s">
        <v>34</v>
      </c>
      <c r="K50" t="s">
        <v>109</v>
      </c>
      <c r="L50" t="s">
        <v>36</v>
      </c>
      <c r="M50" t="s">
        <v>37</v>
      </c>
      <c r="N50" t="s">
        <v>38</v>
      </c>
      <c r="O50" t="s">
        <v>110</v>
      </c>
      <c r="P50" t="s">
        <v>40</v>
      </c>
      <c r="Q50" t="s">
        <v>67</v>
      </c>
      <c r="R50" t="s">
        <v>42</v>
      </c>
      <c r="S50">
        <v>0</v>
      </c>
    </row>
    <row r="51" spans="1:19" x14ac:dyDescent="0.3">
      <c r="A51">
        <v>50</v>
      </c>
      <c r="B51">
        <v>7</v>
      </c>
      <c r="C51">
        <v>10</v>
      </c>
      <c r="D51">
        <v>2.1</v>
      </c>
      <c r="E51">
        <v>0</v>
      </c>
      <c r="I51" t="s">
        <v>33</v>
      </c>
      <c r="J51" t="s">
        <v>34</v>
      </c>
      <c r="K51" t="s">
        <v>111</v>
      </c>
      <c r="L51" t="s">
        <v>36</v>
      </c>
      <c r="M51" t="s">
        <v>56</v>
      </c>
      <c r="N51" t="s">
        <v>38</v>
      </c>
      <c r="O51" t="s">
        <v>110</v>
      </c>
      <c r="P51" t="s">
        <v>40</v>
      </c>
      <c r="Q51" t="s">
        <v>83</v>
      </c>
      <c r="R51" t="s">
        <v>42</v>
      </c>
      <c r="S51">
        <v>0</v>
      </c>
    </row>
    <row r="52" spans="1:19" x14ac:dyDescent="0.3">
      <c r="A52">
        <v>51</v>
      </c>
      <c r="B52">
        <v>3</v>
      </c>
      <c r="C52">
        <v>11</v>
      </c>
      <c r="D52">
        <v>2.2000000000000002</v>
      </c>
      <c r="E52">
        <v>0</v>
      </c>
      <c r="I52" t="s">
        <v>33</v>
      </c>
      <c r="J52" t="s">
        <v>34</v>
      </c>
      <c r="K52" t="s">
        <v>112</v>
      </c>
      <c r="L52" t="s">
        <v>36</v>
      </c>
      <c r="M52" t="s">
        <v>44</v>
      </c>
      <c r="N52" t="s">
        <v>38</v>
      </c>
      <c r="O52" t="s">
        <v>110</v>
      </c>
      <c r="P52" t="s">
        <v>40</v>
      </c>
      <c r="Q52" t="s">
        <v>67</v>
      </c>
      <c r="R52" t="s">
        <v>42</v>
      </c>
      <c r="S52">
        <v>0</v>
      </c>
    </row>
    <row r="53" spans="1:19" x14ac:dyDescent="0.3">
      <c r="A53">
        <v>52</v>
      </c>
      <c r="B53">
        <v>4</v>
      </c>
      <c r="C53">
        <v>11</v>
      </c>
      <c r="D53">
        <v>2.2000000000000002</v>
      </c>
      <c r="E53">
        <v>0</v>
      </c>
      <c r="I53" t="s">
        <v>33</v>
      </c>
      <c r="J53" t="s">
        <v>34</v>
      </c>
      <c r="K53" t="s">
        <v>113</v>
      </c>
      <c r="L53" t="s">
        <v>36</v>
      </c>
      <c r="M53" t="s">
        <v>54</v>
      </c>
      <c r="N53" t="s">
        <v>38</v>
      </c>
      <c r="O53" t="s">
        <v>110</v>
      </c>
      <c r="P53" t="s">
        <v>40</v>
      </c>
      <c r="Q53" t="s">
        <v>83</v>
      </c>
      <c r="R53" t="s">
        <v>42</v>
      </c>
      <c r="S53">
        <v>0</v>
      </c>
    </row>
    <row r="54" spans="1:19" x14ac:dyDescent="0.3">
      <c r="A54">
        <v>53</v>
      </c>
      <c r="B54">
        <v>5</v>
      </c>
      <c r="C54">
        <v>11</v>
      </c>
      <c r="D54">
        <v>2.2000000000000002</v>
      </c>
      <c r="E54">
        <v>0</v>
      </c>
      <c r="I54" t="s">
        <v>33</v>
      </c>
      <c r="J54" t="s">
        <v>34</v>
      </c>
      <c r="K54" t="s">
        <v>114</v>
      </c>
      <c r="L54" t="s">
        <v>36</v>
      </c>
      <c r="M54" t="s">
        <v>65</v>
      </c>
      <c r="N54" t="s">
        <v>38</v>
      </c>
      <c r="O54" t="s">
        <v>110</v>
      </c>
      <c r="P54" t="s">
        <v>40</v>
      </c>
      <c r="Q54" t="s">
        <v>83</v>
      </c>
      <c r="R54" t="s">
        <v>42</v>
      </c>
      <c r="S54">
        <v>0</v>
      </c>
    </row>
    <row r="55" spans="1:19" x14ac:dyDescent="0.3">
      <c r="A55">
        <v>54</v>
      </c>
      <c r="B55">
        <v>6</v>
      </c>
      <c r="C55">
        <v>11</v>
      </c>
      <c r="D55">
        <v>2.25</v>
      </c>
      <c r="E55">
        <v>0</v>
      </c>
      <c r="I55" t="s">
        <v>33</v>
      </c>
      <c r="J55" t="s">
        <v>34</v>
      </c>
      <c r="K55" t="s">
        <v>115</v>
      </c>
      <c r="L55" t="s">
        <v>36</v>
      </c>
      <c r="M55" t="s">
        <v>50</v>
      </c>
      <c r="N55" t="s">
        <v>38</v>
      </c>
      <c r="O55" t="s">
        <v>110</v>
      </c>
      <c r="P55" t="s">
        <v>40</v>
      </c>
      <c r="Q55" t="s">
        <v>83</v>
      </c>
      <c r="R55" t="s">
        <v>42</v>
      </c>
      <c r="S55">
        <v>0</v>
      </c>
    </row>
    <row r="56" spans="1:19" x14ac:dyDescent="0.3">
      <c r="A56">
        <v>55</v>
      </c>
      <c r="B56">
        <v>7</v>
      </c>
      <c r="C56">
        <v>11</v>
      </c>
      <c r="D56">
        <v>2.7</v>
      </c>
      <c r="E56">
        <v>0</v>
      </c>
      <c r="I56" t="s">
        <v>33</v>
      </c>
      <c r="J56" t="s">
        <v>34</v>
      </c>
      <c r="K56" t="s">
        <v>116</v>
      </c>
      <c r="L56" t="s">
        <v>36</v>
      </c>
      <c r="M56" t="s">
        <v>56</v>
      </c>
      <c r="N56" t="s">
        <v>38</v>
      </c>
      <c r="O56" t="s">
        <v>117</v>
      </c>
      <c r="P56" t="s">
        <v>40</v>
      </c>
      <c r="Q56" t="s">
        <v>67</v>
      </c>
      <c r="R56" t="s">
        <v>42</v>
      </c>
      <c r="S56">
        <v>0</v>
      </c>
    </row>
    <row r="57" spans="1:19" x14ac:dyDescent="0.3">
      <c r="A57">
        <v>56</v>
      </c>
      <c r="B57">
        <v>7</v>
      </c>
      <c r="C57">
        <v>12</v>
      </c>
      <c r="D57">
        <v>2.2000000000000002</v>
      </c>
      <c r="E57">
        <v>0</v>
      </c>
      <c r="I57" t="s">
        <v>33</v>
      </c>
      <c r="J57" t="s">
        <v>34</v>
      </c>
      <c r="K57" t="s">
        <v>118</v>
      </c>
      <c r="L57" t="s">
        <v>36</v>
      </c>
      <c r="M57" t="s">
        <v>44</v>
      </c>
      <c r="N57" t="s">
        <v>38</v>
      </c>
      <c r="O57" t="s">
        <v>117</v>
      </c>
      <c r="P57" t="s">
        <v>40</v>
      </c>
      <c r="Q57" t="s">
        <v>67</v>
      </c>
      <c r="R57" t="s">
        <v>42</v>
      </c>
      <c r="S57">
        <v>0</v>
      </c>
    </row>
    <row r="58" spans="1:19" x14ac:dyDescent="0.3">
      <c r="A58">
        <v>57</v>
      </c>
      <c r="B58">
        <v>7</v>
      </c>
      <c r="C58">
        <v>13</v>
      </c>
      <c r="D58">
        <v>2.2000000000000002</v>
      </c>
      <c r="E58">
        <v>1</v>
      </c>
      <c r="I58" t="s">
        <v>33</v>
      </c>
      <c r="J58" t="s">
        <v>34</v>
      </c>
      <c r="K58" t="s">
        <v>119</v>
      </c>
      <c r="L58" t="s">
        <v>36</v>
      </c>
      <c r="M58" t="s">
        <v>54</v>
      </c>
      <c r="N58" t="s">
        <v>38</v>
      </c>
      <c r="O58" t="s">
        <v>117</v>
      </c>
      <c r="P58" t="s">
        <v>40</v>
      </c>
      <c r="Q58" t="s">
        <v>67</v>
      </c>
      <c r="R58" t="s">
        <v>42</v>
      </c>
      <c r="S58">
        <v>0</v>
      </c>
    </row>
    <row r="59" spans="1:19" x14ac:dyDescent="0.3">
      <c r="A59" s="1" t="s">
        <v>0</v>
      </c>
      <c r="B59" s="1" t="s">
        <v>5</v>
      </c>
      <c r="C59" s="1" t="s">
        <v>6</v>
      </c>
      <c r="D59" s="1" t="s">
        <v>7</v>
      </c>
      <c r="E59" s="1" t="s">
        <v>8</v>
      </c>
      <c r="I59" t="s">
        <v>33</v>
      </c>
      <c r="J59" t="s">
        <v>34</v>
      </c>
      <c r="K59" t="s">
        <v>120</v>
      </c>
      <c r="L59" t="s">
        <v>36</v>
      </c>
      <c r="M59" t="s">
        <v>65</v>
      </c>
      <c r="N59" t="s">
        <v>38</v>
      </c>
      <c r="O59" t="s">
        <v>117</v>
      </c>
      <c r="P59" t="s">
        <v>40</v>
      </c>
      <c r="Q59" t="s">
        <v>87</v>
      </c>
      <c r="R59" t="s">
        <v>42</v>
      </c>
      <c r="S59">
        <v>0</v>
      </c>
    </row>
    <row r="60" spans="1:19" x14ac:dyDescent="0.3">
      <c r="A60" s="3">
        <v>1</v>
      </c>
      <c r="B60">
        <v>4</v>
      </c>
      <c r="C60">
        <v>3</v>
      </c>
      <c r="D60">
        <v>1</v>
      </c>
      <c r="E60">
        <v>3.0000000000000001E-3</v>
      </c>
      <c r="I60" t="s">
        <v>33</v>
      </c>
      <c r="J60" t="s">
        <v>34</v>
      </c>
      <c r="K60" t="s">
        <v>121</v>
      </c>
      <c r="L60" t="s">
        <v>36</v>
      </c>
      <c r="M60" t="s">
        <v>50</v>
      </c>
      <c r="N60" t="s">
        <v>38</v>
      </c>
      <c r="O60" t="s">
        <v>117</v>
      </c>
      <c r="P60" t="s">
        <v>40</v>
      </c>
      <c r="Q60" t="s">
        <v>48</v>
      </c>
      <c r="R60" t="s">
        <v>42</v>
      </c>
      <c r="S60">
        <v>0</v>
      </c>
    </row>
    <row r="61" spans="1:19" x14ac:dyDescent="0.3">
      <c r="A61" s="3">
        <v>2</v>
      </c>
      <c r="B61">
        <v>1</v>
      </c>
      <c r="C61">
        <v>2</v>
      </c>
      <c r="D61">
        <v>2</v>
      </c>
      <c r="E61">
        <v>6.2500000120475296E-2</v>
      </c>
      <c r="I61" t="s">
        <v>33</v>
      </c>
      <c r="J61" t="s">
        <v>34</v>
      </c>
      <c r="K61" t="s">
        <v>122</v>
      </c>
      <c r="L61" t="s">
        <v>36</v>
      </c>
      <c r="M61" t="s">
        <v>50</v>
      </c>
      <c r="N61" t="s">
        <v>38</v>
      </c>
      <c r="O61" t="s">
        <v>123</v>
      </c>
      <c r="P61" t="s">
        <v>40</v>
      </c>
      <c r="Q61" t="s">
        <v>67</v>
      </c>
      <c r="R61" t="s">
        <v>42</v>
      </c>
      <c r="S61">
        <v>0</v>
      </c>
    </row>
    <row r="62" spans="1:19" x14ac:dyDescent="0.3">
      <c r="A62" s="3">
        <v>3</v>
      </c>
      <c r="B62">
        <v>2</v>
      </c>
      <c r="C62">
        <v>55</v>
      </c>
      <c r="D62">
        <v>2</v>
      </c>
      <c r="E62">
        <v>7.6500000120475295E-2</v>
      </c>
      <c r="I62" t="s">
        <v>33</v>
      </c>
      <c r="J62" t="s">
        <v>34</v>
      </c>
      <c r="K62" t="s">
        <v>124</v>
      </c>
      <c r="L62" t="s">
        <v>36</v>
      </c>
      <c r="M62" t="s">
        <v>50</v>
      </c>
      <c r="N62" t="s">
        <v>38</v>
      </c>
      <c r="O62" t="s">
        <v>125</v>
      </c>
      <c r="P62" t="s">
        <v>40</v>
      </c>
      <c r="Q62" t="s">
        <v>67</v>
      </c>
      <c r="R62" t="s">
        <v>42</v>
      </c>
      <c r="S62">
        <v>1</v>
      </c>
    </row>
    <row r="63" spans="1:19" x14ac:dyDescent="0.3">
      <c r="A63" s="3">
        <v>4</v>
      </c>
      <c r="B63">
        <v>7</v>
      </c>
      <c r="C63">
        <v>1</v>
      </c>
      <c r="D63">
        <v>2</v>
      </c>
      <c r="E63">
        <v>5.7500000120475299E-2</v>
      </c>
    </row>
    <row r="64" spans="1:19" x14ac:dyDescent="0.3">
      <c r="A64" s="3">
        <v>5</v>
      </c>
      <c r="B64">
        <v>19</v>
      </c>
      <c r="C64">
        <v>18</v>
      </c>
      <c r="D64">
        <v>2</v>
      </c>
      <c r="E64">
        <v>3.5000000000000001E-3</v>
      </c>
      <c r="I64" t="s">
        <v>31</v>
      </c>
      <c r="J64" t="s">
        <v>26</v>
      </c>
      <c r="K64" t="s">
        <v>31</v>
      </c>
    </row>
    <row r="65" spans="1:20" x14ac:dyDescent="0.3">
      <c r="A65" s="3">
        <v>6</v>
      </c>
      <c r="B65">
        <v>5</v>
      </c>
      <c r="C65">
        <v>8</v>
      </c>
      <c r="D65">
        <v>1</v>
      </c>
      <c r="E65">
        <v>1.7499999999999901E-3</v>
      </c>
      <c r="I65" t="s">
        <v>126</v>
      </c>
      <c r="J65" t="s">
        <v>34</v>
      </c>
      <c r="K65" t="s">
        <v>127</v>
      </c>
      <c r="L65" t="s">
        <v>128</v>
      </c>
      <c r="M65">
        <v>4</v>
      </c>
      <c r="N65" t="s">
        <v>129</v>
      </c>
      <c r="O65" t="s">
        <v>130</v>
      </c>
      <c r="P65" t="s">
        <v>46</v>
      </c>
      <c r="Q65" t="s">
        <v>131</v>
      </c>
      <c r="R65" t="s">
        <v>35</v>
      </c>
      <c r="S65" t="s">
        <v>132</v>
      </c>
      <c r="T65">
        <v>3.0000000000000001E-3</v>
      </c>
    </row>
    <row r="66" spans="1:20" x14ac:dyDescent="0.3">
      <c r="A66" s="3">
        <v>7</v>
      </c>
      <c r="B66">
        <v>6</v>
      </c>
      <c r="C66">
        <v>11</v>
      </c>
      <c r="D66">
        <v>1</v>
      </c>
      <c r="E66">
        <v>7.4999999999999997E-3</v>
      </c>
      <c r="I66" t="s">
        <v>126</v>
      </c>
      <c r="J66" t="s">
        <v>34</v>
      </c>
      <c r="K66" t="s">
        <v>35</v>
      </c>
      <c r="L66" t="s">
        <v>128</v>
      </c>
      <c r="M66">
        <v>1</v>
      </c>
      <c r="N66" t="s">
        <v>129</v>
      </c>
      <c r="O66" t="s">
        <v>130</v>
      </c>
      <c r="P66" t="s">
        <v>43</v>
      </c>
      <c r="Q66" t="s">
        <v>131</v>
      </c>
      <c r="R66" t="s">
        <v>43</v>
      </c>
      <c r="S66" t="s">
        <v>132</v>
      </c>
      <c r="T66">
        <v>6.2500000120475296E-2</v>
      </c>
    </row>
    <row r="67" spans="1:20" x14ac:dyDescent="0.3">
      <c r="A67" s="3">
        <v>8</v>
      </c>
      <c r="B67">
        <v>8</v>
      </c>
      <c r="C67">
        <v>7</v>
      </c>
      <c r="D67">
        <v>2</v>
      </c>
      <c r="E67">
        <v>7.7499999999999999E-3</v>
      </c>
      <c r="I67" t="s">
        <v>126</v>
      </c>
      <c r="J67" t="s">
        <v>34</v>
      </c>
      <c r="K67" t="s">
        <v>43</v>
      </c>
      <c r="L67" t="s">
        <v>128</v>
      </c>
      <c r="M67">
        <v>2</v>
      </c>
      <c r="N67" t="s">
        <v>129</v>
      </c>
      <c r="O67" t="s">
        <v>130</v>
      </c>
      <c r="P67" t="s">
        <v>121</v>
      </c>
      <c r="Q67" t="s">
        <v>131</v>
      </c>
      <c r="R67" t="s">
        <v>43</v>
      </c>
      <c r="S67" t="s">
        <v>132</v>
      </c>
      <c r="T67">
        <v>7.6500000120475295E-2</v>
      </c>
    </row>
    <row r="68" spans="1:20" x14ac:dyDescent="0.3">
      <c r="A68" s="3">
        <v>9</v>
      </c>
      <c r="B68">
        <v>8</v>
      </c>
      <c r="C68">
        <v>9</v>
      </c>
      <c r="D68">
        <v>1</v>
      </c>
      <c r="E68">
        <v>0.01</v>
      </c>
      <c r="I68" t="s">
        <v>126</v>
      </c>
      <c r="J68" t="s">
        <v>34</v>
      </c>
      <c r="K68" t="s">
        <v>46</v>
      </c>
      <c r="L68" t="s">
        <v>128</v>
      </c>
      <c r="M68">
        <v>7</v>
      </c>
      <c r="N68" t="s">
        <v>129</v>
      </c>
      <c r="O68" t="s">
        <v>130</v>
      </c>
      <c r="P68" t="s">
        <v>35</v>
      </c>
      <c r="Q68" t="s">
        <v>131</v>
      </c>
      <c r="R68" t="s">
        <v>43</v>
      </c>
      <c r="S68" t="s">
        <v>132</v>
      </c>
      <c r="T68">
        <v>5.7500000120475299E-2</v>
      </c>
    </row>
    <row r="69" spans="1:20" x14ac:dyDescent="0.3">
      <c r="A69" s="3">
        <v>10</v>
      </c>
      <c r="B69">
        <v>15</v>
      </c>
      <c r="C69">
        <v>9</v>
      </c>
      <c r="D69">
        <v>2</v>
      </c>
      <c r="E69">
        <v>9.1999999879524702E-2</v>
      </c>
      <c r="I69" t="s">
        <v>126</v>
      </c>
      <c r="J69" t="s">
        <v>34</v>
      </c>
      <c r="K69" t="s">
        <v>49</v>
      </c>
      <c r="L69" t="s">
        <v>128</v>
      </c>
      <c r="M69">
        <v>19</v>
      </c>
      <c r="N69" t="s">
        <v>129</v>
      </c>
      <c r="O69" t="s">
        <v>130</v>
      </c>
      <c r="P69" t="s">
        <v>73</v>
      </c>
      <c r="Q69" t="s">
        <v>131</v>
      </c>
      <c r="R69" t="s">
        <v>43</v>
      </c>
      <c r="S69" t="s">
        <v>132</v>
      </c>
      <c r="T69">
        <v>3.5000000000000001E-3</v>
      </c>
    </row>
    <row r="70" spans="1:20" x14ac:dyDescent="0.3">
      <c r="A70" s="3">
        <v>11</v>
      </c>
      <c r="B70">
        <v>10</v>
      </c>
      <c r="C70">
        <v>11</v>
      </c>
      <c r="D70">
        <v>2</v>
      </c>
      <c r="E70">
        <v>0.20150000000000001</v>
      </c>
      <c r="I70" t="s">
        <v>126</v>
      </c>
      <c r="J70" t="s">
        <v>34</v>
      </c>
      <c r="K70" t="s">
        <v>52</v>
      </c>
      <c r="L70" t="s">
        <v>128</v>
      </c>
      <c r="M70">
        <v>5</v>
      </c>
      <c r="N70" t="s">
        <v>129</v>
      </c>
      <c r="O70" t="s">
        <v>130</v>
      </c>
      <c r="P70" t="s">
        <v>58</v>
      </c>
      <c r="Q70" t="s">
        <v>131</v>
      </c>
      <c r="R70" t="s">
        <v>35</v>
      </c>
      <c r="S70" t="s">
        <v>132</v>
      </c>
      <c r="T70">
        <v>1.7499999999999901E-3</v>
      </c>
    </row>
    <row r="71" spans="1:20" x14ac:dyDescent="0.3">
      <c r="A71" s="3">
        <v>12</v>
      </c>
      <c r="B71">
        <v>55</v>
      </c>
      <c r="C71">
        <v>10</v>
      </c>
      <c r="D71">
        <v>2</v>
      </c>
      <c r="E71">
        <v>8.4250000120475302E-2</v>
      </c>
      <c r="I71" t="s">
        <v>126</v>
      </c>
      <c r="J71" t="s">
        <v>34</v>
      </c>
      <c r="K71" t="s">
        <v>53</v>
      </c>
      <c r="L71" t="s">
        <v>128</v>
      </c>
      <c r="M71">
        <v>6</v>
      </c>
      <c r="N71" t="s">
        <v>129</v>
      </c>
      <c r="O71" t="s">
        <v>130</v>
      </c>
      <c r="P71" t="s">
        <v>63</v>
      </c>
      <c r="Q71" t="s">
        <v>131</v>
      </c>
      <c r="R71" t="s">
        <v>35</v>
      </c>
      <c r="S71" t="s">
        <v>132</v>
      </c>
      <c r="T71">
        <v>7.4999999999999997E-3</v>
      </c>
    </row>
    <row r="72" spans="1:20" x14ac:dyDescent="0.3">
      <c r="A72" s="3">
        <v>13</v>
      </c>
      <c r="B72">
        <v>3</v>
      </c>
      <c r="C72">
        <v>2</v>
      </c>
      <c r="D72">
        <v>2</v>
      </c>
      <c r="E72">
        <v>8.0000000000000002E-3</v>
      </c>
      <c r="I72" t="s">
        <v>126</v>
      </c>
      <c r="J72" t="s">
        <v>34</v>
      </c>
      <c r="K72" t="s">
        <v>55</v>
      </c>
      <c r="L72" t="s">
        <v>128</v>
      </c>
      <c r="M72">
        <v>8</v>
      </c>
      <c r="N72" t="s">
        <v>129</v>
      </c>
      <c r="O72" t="s">
        <v>130</v>
      </c>
      <c r="P72" t="s">
        <v>55</v>
      </c>
      <c r="Q72" t="s">
        <v>131</v>
      </c>
      <c r="R72" t="s">
        <v>43</v>
      </c>
      <c r="S72" t="s">
        <v>132</v>
      </c>
      <c r="T72">
        <v>7.7499999999999999E-3</v>
      </c>
    </row>
    <row r="73" spans="1:20" x14ac:dyDescent="0.3">
      <c r="A73" s="3">
        <v>14</v>
      </c>
      <c r="B73">
        <v>11</v>
      </c>
      <c r="C73">
        <v>17</v>
      </c>
      <c r="D73">
        <v>2</v>
      </c>
      <c r="E73">
        <v>0.23</v>
      </c>
      <c r="I73" t="s">
        <v>126</v>
      </c>
      <c r="J73" t="s">
        <v>34</v>
      </c>
      <c r="K73" t="s">
        <v>58</v>
      </c>
      <c r="L73" t="s">
        <v>128</v>
      </c>
      <c r="M73">
        <v>8</v>
      </c>
      <c r="N73" t="s">
        <v>129</v>
      </c>
      <c r="O73" t="s">
        <v>130</v>
      </c>
      <c r="P73" t="s">
        <v>59</v>
      </c>
      <c r="Q73" t="s">
        <v>131</v>
      </c>
      <c r="R73" t="s">
        <v>35</v>
      </c>
      <c r="S73" t="s">
        <v>132</v>
      </c>
      <c r="T73">
        <v>0.01</v>
      </c>
    </row>
    <row r="74" spans="1:20" x14ac:dyDescent="0.3">
      <c r="A74" s="3">
        <v>15</v>
      </c>
      <c r="B74">
        <v>12</v>
      </c>
      <c r="C74">
        <v>11</v>
      </c>
      <c r="D74">
        <v>1</v>
      </c>
      <c r="E74">
        <v>4.0000000000000001E-3</v>
      </c>
      <c r="I74" t="s">
        <v>126</v>
      </c>
      <c r="J74" t="s">
        <v>34</v>
      </c>
      <c r="K74" t="s">
        <v>59</v>
      </c>
      <c r="L74" t="s">
        <v>128</v>
      </c>
      <c r="M74">
        <v>15</v>
      </c>
      <c r="N74" t="s">
        <v>129</v>
      </c>
      <c r="O74" t="s">
        <v>130</v>
      </c>
      <c r="P74" t="s">
        <v>59</v>
      </c>
      <c r="Q74" t="s">
        <v>131</v>
      </c>
      <c r="R74" t="s">
        <v>43</v>
      </c>
      <c r="S74" t="s">
        <v>132</v>
      </c>
      <c r="T74">
        <v>9.1999999879524702E-2</v>
      </c>
    </row>
    <row r="75" spans="1:20" x14ac:dyDescent="0.3">
      <c r="A75" s="3">
        <v>16</v>
      </c>
      <c r="B75">
        <v>13</v>
      </c>
      <c r="C75">
        <v>7</v>
      </c>
      <c r="D75">
        <v>2</v>
      </c>
      <c r="E75">
        <v>4.0750000120475298E-2</v>
      </c>
      <c r="I75" t="s">
        <v>126</v>
      </c>
      <c r="J75" t="s">
        <v>34</v>
      </c>
      <c r="K75" t="s">
        <v>61</v>
      </c>
      <c r="L75" t="s">
        <v>128</v>
      </c>
      <c r="M75">
        <v>10</v>
      </c>
      <c r="N75" t="s">
        <v>129</v>
      </c>
      <c r="O75" t="s">
        <v>130</v>
      </c>
      <c r="P75" t="s">
        <v>63</v>
      </c>
      <c r="Q75" t="s">
        <v>131</v>
      </c>
      <c r="R75" t="s">
        <v>43</v>
      </c>
      <c r="S75" t="s">
        <v>132</v>
      </c>
      <c r="T75">
        <v>0.20150000000000001</v>
      </c>
    </row>
    <row r="76" spans="1:20" x14ac:dyDescent="0.3">
      <c r="A76" s="3">
        <v>17</v>
      </c>
      <c r="B76">
        <v>18</v>
      </c>
      <c r="C76">
        <v>13</v>
      </c>
      <c r="D76">
        <v>2</v>
      </c>
      <c r="E76">
        <v>3.3750000120475299E-2</v>
      </c>
      <c r="I76" t="s">
        <v>126</v>
      </c>
      <c r="J76" t="s">
        <v>34</v>
      </c>
      <c r="K76" t="s">
        <v>63</v>
      </c>
      <c r="L76" t="s">
        <v>128</v>
      </c>
      <c r="M76">
        <v>55</v>
      </c>
      <c r="N76" t="s">
        <v>129</v>
      </c>
      <c r="O76" t="s">
        <v>130</v>
      </c>
      <c r="P76" t="s">
        <v>61</v>
      </c>
      <c r="Q76" t="s">
        <v>131</v>
      </c>
      <c r="R76" t="s">
        <v>43</v>
      </c>
      <c r="S76" t="s">
        <v>132</v>
      </c>
      <c r="T76">
        <v>8.4250000120475302E-2</v>
      </c>
    </row>
    <row r="77" spans="1:20" x14ac:dyDescent="0.3">
      <c r="A77" s="3">
        <v>18</v>
      </c>
      <c r="B77">
        <v>14</v>
      </c>
      <c r="C77">
        <v>8</v>
      </c>
      <c r="D77">
        <v>1</v>
      </c>
      <c r="E77">
        <v>6.0000000000000001E-3</v>
      </c>
      <c r="I77" t="s">
        <v>126</v>
      </c>
      <c r="J77" t="s">
        <v>34</v>
      </c>
      <c r="K77" t="s">
        <v>64</v>
      </c>
      <c r="L77" t="s">
        <v>128</v>
      </c>
      <c r="M77">
        <v>3</v>
      </c>
      <c r="N77" t="s">
        <v>129</v>
      </c>
      <c r="O77" t="s">
        <v>130</v>
      </c>
      <c r="P77" t="s">
        <v>43</v>
      </c>
      <c r="Q77" t="s">
        <v>131</v>
      </c>
      <c r="R77" t="s">
        <v>43</v>
      </c>
      <c r="S77" t="s">
        <v>132</v>
      </c>
      <c r="T77">
        <v>8.0000000000000002E-3</v>
      </c>
    </row>
    <row r="78" spans="1:20" x14ac:dyDescent="0.3">
      <c r="A78" s="3">
        <v>19</v>
      </c>
      <c r="B78">
        <v>14</v>
      </c>
      <c r="C78">
        <v>19</v>
      </c>
      <c r="D78">
        <v>1</v>
      </c>
      <c r="E78">
        <v>2E-3</v>
      </c>
      <c r="I78" t="s">
        <v>126</v>
      </c>
      <c r="J78" t="s">
        <v>34</v>
      </c>
      <c r="K78" t="s">
        <v>66</v>
      </c>
      <c r="L78" t="s">
        <v>128</v>
      </c>
      <c r="M78">
        <v>11</v>
      </c>
      <c r="N78" t="s">
        <v>129</v>
      </c>
      <c r="O78" t="s">
        <v>130</v>
      </c>
      <c r="P78" t="s">
        <v>72</v>
      </c>
      <c r="Q78" t="s">
        <v>131</v>
      </c>
      <c r="R78" t="s">
        <v>43</v>
      </c>
      <c r="S78" t="s">
        <v>132</v>
      </c>
      <c r="T78">
        <v>0.23</v>
      </c>
    </row>
    <row r="79" spans="1:20" x14ac:dyDescent="0.3">
      <c r="A79" s="3">
        <v>20</v>
      </c>
      <c r="B79">
        <v>20</v>
      </c>
      <c r="C79">
        <v>15</v>
      </c>
      <c r="D79">
        <v>2</v>
      </c>
      <c r="E79">
        <v>0.09</v>
      </c>
      <c r="I79" t="s">
        <v>126</v>
      </c>
      <c r="J79" t="s">
        <v>34</v>
      </c>
      <c r="K79" t="s">
        <v>68</v>
      </c>
      <c r="L79" t="s">
        <v>128</v>
      </c>
      <c r="M79">
        <v>12</v>
      </c>
      <c r="N79" t="s">
        <v>129</v>
      </c>
      <c r="O79" t="s">
        <v>130</v>
      </c>
      <c r="P79" t="s">
        <v>63</v>
      </c>
      <c r="Q79" t="s">
        <v>131</v>
      </c>
      <c r="R79" t="s">
        <v>35</v>
      </c>
      <c r="S79" t="s">
        <v>132</v>
      </c>
      <c r="T79">
        <v>4.0000000000000001E-3</v>
      </c>
    </row>
    <row r="80" spans="1:20" x14ac:dyDescent="0.3">
      <c r="A80" s="3">
        <v>21</v>
      </c>
      <c r="B80">
        <v>16</v>
      </c>
      <c r="C80">
        <v>10</v>
      </c>
      <c r="D80">
        <v>1</v>
      </c>
      <c r="E80">
        <v>2.2499999999999998E-3</v>
      </c>
      <c r="I80" t="s">
        <v>126</v>
      </c>
      <c r="J80" t="s">
        <v>34</v>
      </c>
      <c r="K80" t="s">
        <v>70</v>
      </c>
      <c r="L80" t="s">
        <v>128</v>
      </c>
      <c r="M80">
        <v>13</v>
      </c>
      <c r="N80" t="s">
        <v>129</v>
      </c>
      <c r="O80" t="s">
        <v>130</v>
      </c>
      <c r="P80" t="s">
        <v>55</v>
      </c>
      <c r="Q80" t="s">
        <v>131</v>
      </c>
      <c r="R80" t="s">
        <v>43</v>
      </c>
      <c r="S80" t="s">
        <v>132</v>
      </c>
      <c r="T80">
        <v>4.0750000120475298E-2</v>
      </c>
    </row>
    <row r="81" spans="1:20" x14ac:dyDescent="0.3">
      <c r="A81" s="3">
        <v>22</v>
      </c>
      <c r="B81">
        <v>19</v>
      </c>
      <c r="C81">
        <v>20</v>
      </c>
      <c r="D81">
        <v>1</v>
      </c>
      <c r="E81">
        <v>6.0000000000000001E-3</v>
      </c>
      <c r="I81" t="s">
        <v>126</v>
      </c>
      <c r="J81" t="s">
        <v>34</v>
      </c>
      <c r="K81" t="s">
        <v>71</v>
      </c>
      <c r="L81" t="s">
        <v>128</v>
      </c>
      <c r="M81">
        <v>18</v>
      </c>
      <c r="N81" t="s">
        <v>129</v>
      </c>
      <c r="O81" t="s">
        <v>130</v>
      </c>
      <c r="P81" t="s">
        <v>66</v>
      </c>
      <c r="Q81" t="s">
        <v>131</v>
      </c>
      <c r="R81" t="s">
        <v>43</v>
      </c>
      <c r="S81" t="s">
        <v>132</v>
      </c>
      <c r="T81">
        <v>3.3750000120475299E-2</v>
      </c>
    </row>
    <row r="82" spans="1:20" x14ac:dyDescent="0.3">
      <c r="A82" s="3">
        <v>23</v>
      </c>
      <c r="B82">
        <v>17</v>
      </c>
      <c r="C82">
        <v>22</v>
      </c>
      <c r="D82">
        <v>2</v>
      </c>
      <c r="E82">
        <v>0.23599999999999999</v>
      </c>
      <c r="I82" t="s">
        <v>126</v>
      </c>
      <c r="J82" t="s">
        <v>34</v>
      </c>
      <c r="K82" t="s">
        <v>72</v>
      </c>
      <c r="L82" t="s">
        <v>128</v>
      </c>
      <c r="M82">
        <v>14</v>
      </c>
      <c r="N82" t="s">
        <v>129</v>
      </c>
      <c r="O82" t="s">
        <v>130</v>
      </c>
      <c r="P82" t="s">
        <v>58</v>
      </c>
      <c r="Q82" t="s">
        <v>131</v>
      </c>
      <c r="R82" t="s">
        <v>35</v>
      </c>
      <c r="S82" t="s">
        <v>132</v>
      </c>
      <c r="T82">
        <v>6.0000000000000001E-3</v>
      </c>
    </row>
    <row r="83" spans="1:20" x14ac:dyDescent="0.3">
      <c r="A83" s="3">
        <v>24</v>
      </c>
      <c r="B83">
        <v>25</v>
      </c>
      <c r="C83">
        <v>18</v>
      </c>
      <c r="D83">
        <v>2</v>
      </c>
      <c r="E83">
        <v>2.2250000120475299E-2</v>
      </c>
      <c r="I83" t="s">
        <v>126</v>
      </c>
      <c r="J83" t="s">
        <v>34</v>
      </c>
      <c r="K83" t="s">
        <v>73</v>
      </c>
      <c r="L83" t="s">
        <v>128</v>
      </c>
      <c r="M83">
        <v>14</v>
      </c>
      <c r="N83" t="s">
        <v>129</v>
      </c>
      <c r="O83" t="s">
        <v>130</v>
      </c>
      <c r="P83" t="s">
        <v>74</v>
      </c>
      <c r="Q83" t="s">
        <v>131</v>
      </c>
      <c r="R83" t="s">
        <v>35</v>
      </c>
      <c r="S83" t="s">
        <v>132</v>
      </c>
      <c r="T83">
        <v>2E-3</v>
      </c>
    </row>
    <row r="84" spans="1:20" x14ac:dyDescent="0.3">
      <c r="A84" s="3">
        <v>25</v>
      </c>
      <c r="B84">
        <v>9</v>
      </c>
      <c r="C84">
        <v>10</v>
      </c>
      <c r="D84">
        <v>2</v>
      </c>
      <c r="E84">
        <v>0.10499999987952401</v>
      </c>
      <c r="I84" t="s">
        <v>126</v>
      </c>
      <c r="J84" t="s">
        <v>34</v>
      </c>
      <c r="K84" t="s">
        <v>74</v>
      </c>
      <c r="L84" t="s">
        <v>128</v>
      </c>
      <c r="M84">
        <v>20</v>
      </c>
      <c r="N84" t="s">
        <v>129</v>
      </c>
      <c r="O84" t="s">
        <v>130</v>
      </c>
      <c r="P84" t="s">
        <v>70</v>
      </c>
      <c r="Q84" t="s">
        <v>131</v>
      </c>
      <c r="R84" t="s">
        <v>43</v>
      </c>
      <c r="S84" t="s">
        <v>132</v>
      </c>
      <c r="T84">
        <v>0.09</v>
      </c>
    </row>
    <row r="85" spans="1:20" x14ac:dyDescent="0.3">
      <c r="A85" s="3">
        <v>26</v>
      </c>
      <c r="B85">
        <v>26</v>
      </c>
      <c r="C85">
        <v>19</v>
      </c>
      <c r="D85">
        <v>1</v>
      </c>
      <c r="E85">
        <v>1.5E-3</v>
      </c>
      <c r="I85" t="s">
        <v>126</v>
      </c>
      <c r="J85" t="s">
        <v>34</v>
      </c>
      <c r="K85" t="s">
        <v>75</v>
      </c>
      <c r="L85" t="s">
        <v>128</v>
      </c>
      <c r="M85">
        <v>16</v>
      </c>
      <c r="N85" t="s">
        <v>129</v>
      </c>
      <c r="O85" t="s">
        <v>130</v>
      </c>
      <c r="P85" t="s">
        <v>61</v>
      </c>
      <c r="Q85" t="s">
        <v>131</v>
      </c>
      <c r="R85" t="s">
        <v>35</v>
      </c>
      <c r="S85" t="s">
        <v>132</v>
      </c>
      <c r="T85">
        <v>2.2499999999999998E-3</v>
      </c>
    </row>
    <row r="86" spans="1:20" x14ac:dyDescent="0.3">
      <c r="A86" s="3">
        <v>27</v>
      </c>
      <c r="B86">
        <v>27</v>
      </c>
      <c r="C86">
        <v>20</v>
      </c>
      <c r="D86">
        <v>2</v>
      </c>
      <c r="E86">
        <v>5.3749999994848599E-2</v>
      </c>
      <c r="I86" t="s">
        <v>126</v>
      </c>
      <c r="J86" t="s">
        <v>34</v>
      </c>
      <c r="K86" t="s">
        <v>76</v>
      </c>
      <c r="L86" t="s">
        <v>128</v>
      </c>
      <c r="M86">
        <v>19</v>
      </c>
      <c r="N86" t="s">
        <v>129</v>
      </c>
      <c r="O86" t="s">
        <v>130</v>
      </c>
      <c r="P86" t="s">
        <v>75</v>
      </c>
      <c r="Q86" t="s">
        <v>131</v>
      </c>
      <c r="R86" t="s">
        <v>35</v>
      </c>
      <c r="S86" t="s">
        <v>132</v>
      </c>
      <c r="T86">
        <v>6.0000000000000001E-3</v>
      </c>
    </row>
    <row r="87" spans="1:20" x14ac:dyDescent="0.3">
      <c r="A87" s="3">
        <v>28</v>
      </c>
      <c r="B87">
        <v>21</v>
      </c>
      <c r="C87">
        <v>20</v>
      </c>
      <c r="D87">
        <v>2</v>
      </c>
      <c r="E87">
        <v>1.9250000005151299E-2</v>
      </c>
      <c r="I87" t="s">
        <v>126</v>
      </c>
      <c r="J87" t="s">
        <v>34</v>
      </c>
      <c r="K87" t="s">
        <v>78</v>
      </c>
      <c r="L87" t="s">
        <v>128</v>
      </c>
      <c r="M87">
        <v>17</v>
      </c>
      <c r="N87" t="s">
        <v>129</v>
      </c>
      <c r="O87" t="s">
        <v>130</v>
      </c>
      <c r="P87" t="s">
        <v>78</v>
      </c>
      <c r="Q87" t="s">
        <v>131</v>
      </c>
      <c r="R87" t="s">
        <v>43</v>
      </c>
      <c r="S87" t="s">
        <v>132</v>
      </c>
      <c r="T87">
        <v>0.23599999999999999</v>
      </c>
    </row>
    <row r="88" spans="1:20" x14ac:dyDescent="0.3">
      <c r="A88" s="3">
        <v>29</v>
      </c>
      <c r="B88">
        <v>28</v>
      </c>
      <c r="C88">
        <v>21</v>
      </c>
      <c r="D88">
        <v>1</v>
      </c>
      <c r="E88">
        <v>2.5000000051513798E-3</v>
      </c>
      <c r="I88" t="s">
        <v>126</v>
      </c>
      <c r="J88" t="s">
        <v>34</v>
      </c>
      <c r="K88" t="s">
        <v>79</v>
      </c>
      <c r="L88" t="s">
        <v>128</v>
      </c>
      <c r="M88">
        <v>25</v>
      </c>
      <c r="N88" t="s">
        <v>129</v>
      </c>
      <c r="O88" t="s">
        <v>130</v>
      </c>
      <c r="P88" t="s">
        <v>73</v>
      </c>
      <c r="Q88" t="s">
        <v>131</v>
      </c>
      <c r="R88" t="s">
        <v>43</v>
      </c>
      <c r="S88" t="s">
        <v>132</v>
      </c>
      <c r="T88">
        <v>2.2250000120475299E-2</v>
      </c>
    </row>
    <row r="89" spans="1:20" x14ac:dyDescent="0.3">
      <c r="A89" s="3">
        <v>30</v>
      </c>
      <c r="B89">
        <v>22</v>
      </c>
      <c r="C89">
        <v>23</v>
      </c>
      <c r="D89">
        <v>2</v>
      </c>
      <c r="E89">
        <v>0.24950000000849801</v>
      </c>
      <c r="I89" t="s">
        <v>126</v>
      </c>
      <c r="J89" t="s">
        <v>34</v>
      </c>
      <c r="K89" t="s">
        <v>81</v>
      </c>
      <c r="L89" t="s">
        <v>128</v>
      </c>
      <c r="M89">
        <v>9</v>
      </c>
      <c r="N89" t="s">
        <v>129</v>
      </c>
      <c r="O89" t="s">
        <v>130</v>
      </c>
      <c r="P89" t="s">
        <v>61</v>
      </c>
      <c r="Q89" t="s">
        <v>131</v>
      </c>
      <c r="R89" t="s">
        <v>43</v>
      </c>
      <c r="S89" t="s">
        <v>132</v>
      </c>
      <c r="T89">
        <v>0.10499999987952401</v>
      </c>
    </row>
    <row r="90" spans="1:20" x14ac:dyDescent="0.3">
      <c r="A90" s="3">
        <v>31</v>
      </c>
      <c r="B90">
        <v>16</v>
      </c>
      <c r="C90">
        <v>21</v>
      </c>
      <c r="D90">
        <v>1</v>
      </c>
      <c r="E90">
        <v>7.5000000000000002E-4</v>
      </c>
      <c r="I90" t="s">
        <v>126</v>
      </c>
      <c r="J90" t="s">
        <v>34</v>
      </c>
      <c r="K90" t="s">
        <v>82</v>
      </c>
      <c r="L90" t="s">
        <v>128</v>
      </c>
      <c r="M90">
        <v>26</v>
      </c>
      <c r="N90" t="s">
        <v>129</v>
      </c>
      <c r="O90" t="s">
        <v>130</v>
      </c>
      <c r="P90" t="s">
        <v>74</v>
      </c>
      <c r="Q90" t="s">
        <v>131</v>
      </c>
      <c r="R90" t="s">
        <v>35</v>
      </c>
      <c r="S90" t="s">
        <v>132</v>
      </c>
      <c r="T90">
        <v>1.5E-3</v>
      </c>
    </row>
    <row r="91" spans="1:20" x14ac:dyDescent="0.3">
      <c r="A91" s="3">
        <v>32</v>
      </c>
      <c r="B91">
        <v>23</v>
      </c>
      <c r="C91">
        <v>35</v>
      </c>
      <c r="D91">
        <v>2</v>
      </c>
      <c r="E91">
        <v>0.26575000000849802</v>
      </c>
      <c r="I91" t="s">
        <v>126</v>
      </c>
      <c r="J91" t="s">
        <v>34</v>
      </c>
      <c r="K91" t="s">
        <v>84</v>
      </c>
      <c r="L91" t="s">
        <v>128</v>
      </c>
      <c r="M91">
        <v>27</v>
      </c>
      <c r="N91" t="s">
        <v>129</v>
      </c>
      <c r="O91" t="s">
        <v>130</v>
      </c>
      <c r="P91" t="s">
        <v>75</v>
      </c>
      <c r="Q91" t="s">
        <v>131</v>
      </c>
      <c r="R91" t="s">
        <v>43</v>
      </c>
      <c r="S91" t="s">
        <v>132</v>
      </c>
      <c r="T91">
        <v>5.3749999994848599E-2</v>
      </c>
    </row>
    <row r="92" spans="1:20" x14ac:dyDescent="0.3">
      <c r="A92" s="3">
        <v>33</v>
      </c>
      <c r="B92">
        <v>22</v>
      </c>
      <c r="C92">
        <v>21</v>
      </c>
      <c r="D92">
        <v>1</v>
      </c>
      <c r="E92">
        <v>2.9999999999999901E-3</v>
      </c>
      <c r="I92" t="s">
        <v>126</v>
      </c>
      <c r="J92" t="s">
        <v>34</v>
      </c>
      <c r="K92" t="s">
        <v>85</v>
      </c>
      <c r="L92" t="s">
        <v>128</v>
      </c>
      <c r="M92">
        <v>21</v>
      </c>
      <c r="N92" t="s">
        <v>129</v>
      </c>
      <c r="O92" t="s">
        <v>130</v>
      </c>
      <c r="P92" t="s">
        <v>75</v>
      </c>
      <c r="Q92" t="s">
        <v>131</v>
      </c>
      <c r="R92" t="s">
        <v>43</v>
      </c>
      <c r="S92" t="s">
        <v>132</v>
      </c>
      <c r="T92">
        <v>1.9250000005151299E-2</v>
      </c>
    </row>
    <row r="93" spans="1:20" x14ac:dyDescent="0.3">
      <c r="A93" s="3">
        <v>34</v>
      </c>
      <c r="B93">
        <v>33</v>
      </c>
      <c r="C93">
        <v>32</v>
      </c>
      <c r="D93">
        <v>2</v>
      </c>
      <c r="E93">
        <v>1.4999999948486201E-3</v>
      </c>
      <c r="I93" t="s">
        <v>126</v>
      </c>
      <c r="J93" t="s">
        <v>34</v>
      </c>
      <c r="K93" t="s">
        <v>86</v>
      </c>
      <c r="L93" t="s">
        <v>128</v>
      </c>
      <c r="M93">
        <v>28</v>
      </c>
      <c r="N93" t="s">
        <v>129</v>
      </c>
      <c r="O93" t="s">
        <v>130</v>
      </c>
      <c r="P93" t="s">
        <v>76</v>
      </c>
      <c r="Q93" t="s">
        <v>131</v>
      </c>
      <c r="R93" t="s">
        <v>35</v>
      </c>
      <c r="S93" t="s">
        <v>132</v>
      </c>
      <c r="T93">
        <v>2.5000000051513798E-3</v>
      </c>
    </row>
    <row r="94" spans="1:20" x14ac:dyDescent="0.3">
      <c r="A94" s="3">
        <v>35</v>
      </c>
      <c r="B94">
        <v>30</v>
      </c>
      <c r="C94">
        <v>25</v>
      </c>
      <c r="D94">
        <v>2</v>
      </c>
      <c r="E94">
        <v>1.62500001204753E-2</v>
      </c>
      <c r="I94" t="s">
        <v>126</v>
      </c>
      <c r="J94" t="s">
        <v>34</v>
      </c>
      <c r="K94" t="s">
        <v>88</v>
      </c>
      <c r="L94" t="s">
        <v>128</v>
      </c>
      <c r="M94">
        <v>22</v>
      </c>
      <c r="N94" t="s">
        <v>129</v>
      </c>
      <c r="O94" t="s">
        <v>130</v>
      </c>
      <c r="P94" t="s">
        <v>79</v>
      </c>
      <c r="Q94" t="s">
        <v>131</v>
      </c>
      <c r="R94" t="s">
        <v>43</v>
      </c>
      <c r="S94" t="s">
        <v>132</v>
      </c>
      <c r="T94">
        <v>0.24950000000849801</v>
      </c>
    </row>
    <row r="95" spans="1:20" x14ac:dyDescent="0.3">
      <c r="A95" s="3">
        <v>36</v>
      </c>
      <c r="B95">
        <v>49</v>
      </c>
      <c r="C95">
        <v>50</v>
      </c>
      <c r="D95">
        <v>2</v>
      </c>
      <c r="E95">
        <v>0</v>
      </c>
      <c r="I95" t="s">
        <v>126</v>
      </c>
      <c r="J95" t="s">
        <v>34</v>
      </c>
      <c r="K95" t="s">
        <v>89</v>
      </c>
      <c r="L95" t="s">
        <v>128</v>
      </c>
      <c r="M95">
        <v>16</v>
      </c>
      <c r="N95" t="s">
        <v>129</v>
      </c>
      <c r="O95" t="s">
        <v>130</v>
      </c>
      <c r="P95" t="s">
        <v>76</v>
      </c>
      <c r="Q95" t="s">
        <v>131</v>
      </c>
      <c r="R95" t="s">
        <v>35</v>
      </c>
      <c r="S95" t="s">
        <v>132</v>
      </c>
      <c r="T95">
        <v>7.5000000000000002E-4</v>
      </c>
    </row>
    <row r="96" spans="1:20" x14ac:dyDescent="0.3">
      <c r="A96" s="3">
        <v>37</v>
      </c>
      <c r="B96">
        <v>32</v>
      </c>
      <c r="C96">
        <v>27</v>
      </c>
      <c r="D96">
        <v>2</v>
      </c>
      <c r="E96">
        <v>4.4749999994848598E-2</v>
      </c>
      <c r="I96" t="s">
        <v>126</v>
      </c>
      <c r="J96" t="s">
        <v>34</v>
      </c>
      <c r="K96" t="s">
        <v>90</v>
      </c>
      <c r="L96" t="s">
        <v>128</v>
      </c>
      <c r="M96">
        <v>23</v>
      </c>
      <c r="N96" t="s">
        <v>129</v>
      </c>
      <c r="O96" t="s">
        <v>130</v>
      </c>
      <c r="P96" t="s">
        <v>95</v>
      </c>
      <c r="Q96" t="s">
        <v>131</v>
      </c>
      <c r="R96" t="s">
        <v>43</v>
      </c>
      <c r="S96" t="s">
        <v>132</v>
      </c>
      <c r="T96">
        <v>0.26575000000849802</v>
      </c>
    </row>
    <row r="97" spans="1:20" x14ac:dyDescent="0.3">
      <c r="A97" s="3">
        <v>38</v>
      </c>
      <c r="B97">
        <v>28</v>
      </c>
      <c r="C97">
        <v>33</v>
      </c>
      <c r="D97">
        <v>1</v>
      </c>
      <c r="E97">
        <v>1.4999999948486201E-3</v>
      </c>
      <c r="I97" t="s">
        <v>126</v>
      </c>
      <c r="J97" t="s">
        <v>34</v>
      </c>
      <c r="K97" t="s">
        <v>91</v>
      </c>
      <c r="L97" t="s">
        <v>128</v>
      </c>
      <c r="M97">
        <v>22</v>
      </c>
      <c r="N97" t="s">
        <v>129</v>
      </c>
      <c r="O97" t="s">
        <v>130</v>
      </c>
      <c r="P97" t="s">
        <v>76</v>
      </c>
      <c r="Q97" t="s">
        <v>131</v>
      </c>
      <c r="R97" t="s">
        <v>35</v>
      </c>
      <c r="S97" t="s">
        <v>132</v>
      </c>
      <c r="T97">
        <v>2.9999999999999901E-3</v>
      </c>
    </row>
    <row r="98" spans="1:20" x14ac:dyDescent="0.3">
      <c r="A98" s="3">
        <v>39</v>
      </c>
      <c r="B98">
        <v>29</v>
      </c>
      <c r="C98">
        <v>34</v>
      </c>
      <c r="D98">
        <v>1</v>
      </c>
      <c r="E98">
        <v>1.4999999915016799E-3</v>
      </c>
      <c r="I98" t="s">
        <v>126</v>
      </c>
      <c r="J98" t="s">
        <v>34</v>
      </c>
      <c r="K98" t="s">
        <v>92</v>
      </c>
      <c r="L98" t="s">
        <v>128</v>
      </c>
      <c r="M98">
        <v>33</v>
      </c>
      <c r="N98" t="s">
        <v>129</v>
      </c>
      <c r="O98" t="s">
        <v>130</v>
      </c>
      <c r="P98" t="s">
        <v>91</v>
      </c>
      <c r="Q98" t="s">
        <v>131</v>
      </c>
      <c r="R98" t="s">
        <v>43</v>
      </c>
      <c r="S98" t="s">
        <v>132</v>
      </c>
      <c r="T98">
        <v>1.4999999948486201E-3</v>
      </c>
    </row>
    <row r="99" spans="1:20" x14ac:dyDescent="0.3">
      <c r="A99" s="3">
        <v>40</v>
      </c>
      <c r="B99">
        <v>29</v>
      </c>
      <c r="C99">
        <v>22</v>
      </c>
      <c r="D99">
        <v>1</v>
      </c>
      <c r="E99">
        <v>4.5000000084983102E-3</v>
      </c>
      <c r="I99" t="s">
        <v>126</v>
      </c>
      <c r="J99" t="s">
        <v>34</v>
      </c>
      <c r="K99" t="s">
        <v>94</v>
      </c>
      <c r="L99" t="s">
        <v>128</v>
      </c>
      <c r="M99">
        <v>30</v>
      </c>
      <c r="N99" t="s">
        <v>129</v>
      </c>
      <c r="O99" t="s">
        <v>130</v>
      </c>
      <c r="P99" t="s">
        <v>82</v>
      </c>
      <c r="Q99" t="s">
        <v>131</v>
      </c>
      <c r="R99" t="s">
        <v>43</v>
      </c>
      <c r="S99" t="s">
        <v>132</v>
      </c>
      <c r="T99">
        <v>1.62500001204753E-2</v>
      </c>
    </row>
    <row r="100" spans="1:20" x14ac:dyDescent="0.3">
      <c r="A100" s="3">
        <v>41</v>
      </c>
      <c r="B100">
        <v>31</v>
      </c>
      <c r="C100">
        <v>30</v>
      </c>
      <c r="D100">
        <v>2</v>
      </c>
      <c r="E100">
        <v>1.22500001204753E-2</v>
      </c>
      <c r="I100" t="s">
        <v>126</v>
      </c>
      <c r="J100" t="s">
        <v>34</v>
      </c>
      <c r="K100" t="s">
        <v>95</v>
      </c>
      <c r="L100" t="s">
        <v>128</v>
      </c>
      <c r="M100">
        <v>49</v>
      </c>
      <c r="N100" t="s">
        <v>129</v>
      </c>
      <c r="O100" t="s">
        <v>130</v>
      </c>
      <c r="P100" t="s">
        <v>115</v>
      </c>
      <c r="Q100" t="s">
        <v>131</v>
      </c>
      <c r="R100" t="s">
        <v>43</v>
      </c>
      <c r="S100" t="s">
        <v>132</v>
      </c>
      <c r="T100">
        <v>0</v>
      </c>
    </row>
    <row r="101" spans="1:20" x14ac:dyDescent="0.3">
      <c r="A101" s="3">
        <v>42</v>
      </c>
      <c r="B101">
        <v>31</v>
      </c>
      <c r="C101">
        <v>32</v>
      </c>
      <c r="D101">
        <v>1</v>
      </c>
      <c r="E101">
        <v>3.9999999999999897E-3</v>
      </c>
      <c r="I101" t="s">
        <v>126</v>
      </c>
      <c r="J101" t="s">
        <v>34</v>
      </c>
      <c r="K101" t="s">
        <v>96</v>
      </c>
      <c r="L101" t="s">
        <v>128</v>
      </c>
      <c r="M101">
        <v>32</v>
      </c>
      <c r="N101" t="s">
        <v>129</v>
      </c>
      <c r="O101" t="s">
        <v>130</v>
      </c>
      <c r="P101" t="s">
        <v>85</v>
      </c>
      <c r="Q101" t="s">
        <v>131</v>
      </c>
      <c r="R101" t="s">
        <v>43</v>
      </c>
      <c r="S101" t="s">
        <v>132</v>
      </c>
      <c r="T101">
        <v>4.4749999994848598E-2</v>
      </c>
    </row>
    <row r="102" spans="1:20" x14ac:dyDescent="0.3">
      <c r="A102" s="3">
        <v>43</v>
      </c>
      <c r="B102">
        <v>39</v>
      </c>
      <c r="C102">
        <v>31</v>
      </c>
      <c r="D102">
        <v>2</v>
      </c>
      <c r="E102">
        <v>1.17500001204753E-2</v>
      </c>
      <c r="I102" t="s">
        <v>126</v>
      </c>
      <c r="J102" t="s">
        <v>34</v>
      </c>
      <c r="K102" t="s">
        <v>98</v>
      </c>
      <c r="L102" t="s">
        <v>128</v>
      </c>
      <c r="M102">
        <v>28</v>
      </c>
      <c r="N102" t="s">
        <v>129</v>
      </c>
      <c r="O102" t="s">
        <v>130</v>
      </c>
      <c r="P102" t="s">
        <v>92</v>
      </c>
      <c r="Q102" t="s">
        <v>131</v>
      </c>
      <c r="R102" t="s">
        <v>35</v>
      </c>
      <c r="S102" t="s">
        <v>132</v>
      </c>
      <c r="T102">
        <v>1.4999999948486201E-3</v>
      </c>
    </row>
    <row r="103" spans="1:20" x14ac:dyDescent="0.3">
      <c r="A103" s="3">
        <v>44</v>
      </c>
      <c r="B103">
        <v>26</v>
      </c>
      <c r="C103">
        <v>31</v>
      </c>
      <c r="D103">
        <v>1</v>
      </c>
      <c r="E103">
        <v>5.0000000000000001E-4</v>
      </c>
      <c r="I103" t="s">
        <v>126</v>
      </c>
      <c r="J103" t="s">
        <v>34</v>
      </c>
      <c r="K103" t="s">
        <v>101</v>
      </c>
      <c r="L103" t="s">
        <v>128</v>
      </c>
      <c r="M103">
        <v>29</v>
      </c>
      <c r="N103" t="s">
        <v>129</v>
      </c>
      <c r="O103" t="s">
        <v>130</v>
      </c>
      <c r="P103" t="s">
        <v>94</v>
      </c>
      <c r="Q103" t="s">
        <v>131</v>
      </c>
      <c r="R103" t="s">
        <v>35</v>
      </c>
      <c r="S103" t="s">
        <v>132</v>
      </c>
      <c r="T103">
        <v>1.4999999915016799E-3</v>
      </c>
    </row>
    <row r="104" spans="1:20" x14ac:dyDescent="0.3">
      <c r="A104" s="3">
        <v>45</v>
      </c>
      <c r="B104">
        <v>40</v>
      </c>
      <c r="C104">
        <v>32</v>
      </c>
      <c r="D104">
        <v>2</v>
      </c>
      <c r="E104">
        <v>3.125E-2</v>
      </c>
      <c r="I104" t="s">
        <v>126</v>
      </c>
      <c r="J104" t="s">
        <v>34</v>
      </c>
      <c r="K104" t="s">
        <v>103</v>
      </c>
      <c r="L104" t="s">
        <v>128</v>
      </c>
      <c r="M104">
        <v>29</v>
      </c>
      <c r="N104" t="s">
        <v>129</v>
      </c>
      <c r="O104" t="s">
        <v>130</v>
      </c>
      <c r="P104" t="s">
        <v>78</v>
      </c>
      <c r="Q104" t="s">
        <v>131</v>
      </c>
      <c r="R104" t="s">
        <v>35</v>
      </c>
      <c r="S104" t="s">
        <v>132</v>
      </c>
      <c r="T104">
        <v>4.5000000084983102E-3</v>
      </c>
    </row>
    <row r="105" spans="1:20" x14ac:dyDescent="0.3">
      <c r="A105" s="3">
        <v>46</v>
      </c>
      <c r="B105">
        <v>37</v>
      </c>
      <c r="C105">
        <v>34</v>
      </c>
      <c r="D105">
        <v>1</v>
      </c>
      <c r="E105">
        <v>3.0000000000000001E-3</v>
      </c>
      <c r="I105" t="s">
        <v>126</v>
      </c>
      <c r="J105" t="s">
        <v>34</v>
      </c>
      <c r="K105" t="s">
        <v>104</v>
      </c>
      <c r="L105" t="s">
        <v>128</v>
      </c>
      <c r="M105">
        <v>31</v>
      </c>
      <c r="N105" t="s">
        <v>129</v>
      </c>
      <c r="O105" t="s">
        <v>130</v>
      </c>
      <c r="P105" t="s">
        <v>89</v>
      </c>
      <c r="Q105" t="s">
        <v>131</v>
      </c>
      <c r="R105" t="s">
        <v>43</v>
      </c>
      <c r="S105" t="s">
        <v>132</v>
      </c>
      <c r="T105">
        <v>1.22500001204753E-2</v>
      </c>
    </row>
    <row r="106" spans="1:20" x14ac:dyDescent="0.3">
      <c r="A106" s="3">
        <v>47</v>
      </c>
      <c r="B106">
        <v>33</v>
      </c>
      <c r="C106">
        <v>34</v>
      </c>
      <c r="D106">
        <v>1</v>
      </c>
      <c r="E106">
        <v>6.0000000000000001E-3</v>
      </c>
      <c r="I106" t="s">
        <v>126</v>
      </c>
      <c r="J106" t="s">
        <v>34</v>
      </c>
      <c r="K106" t="s">
        <v>105</v>
      </c>
      <c r="L106" t="s">
        <v>128</v>
      </c>
      <c r="M106">
        <v>31</v>
      </c>
      <c r="N106" t="s">
        <v>129</v>
      </c>
      <c r="O106" t="s">
        <v>130</v>
      </c>
      <c r="P106" t="s">
        <v>91</v>
      </c>
      <c r="Q106" t="s">
        <v>131</v>
      </c>
      <c r="R106" t="s">
        <v>35</v>
      </c>
      <c r="S106" t="s">
        <v>132</v>
      </c>
      <c r="T106">
        <v>3.9999999999999897E-3</v>
      </c>
    </row>
    <row r="107" spans="1:20" x14ac:dyDescent="0.3">
      <c r="A107" s="3">
        <v>48</v>
      </c>
      <c r="B107">
        <v>48</v>
      </c>
      <c r="C107">
        <v>42</v>
      </c>
      <c r="D107">
        <v>2</v>
      </c>
      <c r="E107">
        <v>1.8749999999999999E-2</v>
      </c>
      <c r="I107" t="s">
        <v>126</v>
      </c>
      <c r="J107" t="s">
        <v>34</v>
      </c>
      <c r="K107" t="s">
        <v>106</v>
      </c>
      <c r="L107" t="s">
        <v>128</v>
      </c>
      <c r="M107">
        <v>39</v>
      </c>
      <c r="N107" t="s">
        <v>129</v>
      </c>
      <c r="O107" t="s">
        <v>130</v>
      </c>
      <c r="P107" t="s">
        <v>90</v>
      </c>
      <c r="Q107" t="s">
        <v>131</v>
      </c>
      <c r="R107" t="s">
        <v>43</v>
      </c>
      <c r="S107" t="s">
        <v>132</v>
      </c>
      <c r="T107">
        <v>1.17500001204753E-2</v>
      </c>
    </row>
    <row r="108" spans="1:20" x14ac:dyDescent="0.3">
      <c r="A108" s="3">
        <v>49</v>
      </c>
      <c r="B108">
        <v>34</v>
      </c>
      <c r="C108">
        <v>35</v>
      </c>
      <c r="D108">
        <v>2</v>
      </c>
      <c r="E108">
        <v>2.0499999991501601E-2</v>
      </c>
      <c r="I108" t="s">
        <v>126</v>
      </c>
      <c r="J108" t="s">
        <v>34</v>
      </c>
      <c r="K108" t="s">
        <v>107</v>
      </c>
      <c r="L108" t="s">
        <v>128</v>
      </c>
      <c r="M108">
        <v>26</v>
      </c>
      <c r="N108" t="s">
        <v>129</v>
      </c>
      <c r="O108" t="s">
        <v>130</v>
      </c>
      <c r="P108" t="s">
        <v>90</v>
      </c>
      <c r="Q108" t="s">
        <v>131</v>
      </c>
      <c r="R108" t="s">
        <v>35</v>
      </c>
      <c r="S108" t="s">
        <v>132</v>
      </c>
      <c r="T108">
        <v>5.0000000000000001E-4</v>
      </c>
    </row>
    <row r="109" spans="1:20" x14ac:dyDescent="0.3">
      <c r="A109" s="3">
        <v>50</v>
      </c>
      <c r="B109">
        <v>35</v>
      </c>
      <c r="C109">
        <v>43</v>
      </c>
      <c r="D109">
        <v>2</v>
      </c>
      <c r="E109">
        <v>0.31025000000000003</v>
      </c>
      <c r="I109" t="s">
        <v>126</v>
      </c>
      <c r="J109" t="s">
        <v>34</v>
      </c>
      <c r="K109" t="s">
        <v>108</v>
      </c>
      <c r="L109" t="s">
        <v>128</v>
      </c>
      <c r="M109">
        <v>40</v>
      </c>
      <c r="N109" t="s">
        <v>129</v>
      </c>
      <c r="O109" t="s">
        <v>130</v>
      </c>
      <c r="P109" t="s">
        <v>91</v>
      </c>
      <c r="Q109" t="s">
        <v>131</v>
      </c>
      <c r="R109" t="s">
        <v>43</v>
      </c>
      <c r="S109" t="s">
        <v>132</v>
      </c>
      <c r="T109">
        <v>3.125E-2</v>
      </c>
    </row>
    <row r="110" spans="1:20" x14ac:dyDescent="0.3">
      <c r="A110" s="3">
        <v>51</v>
      </c>
      <c r="B110">
        <v>36</v>
      </c>
      <c r="C110">
        <v>35</v>
      </c>
      <c r="D110">
        <v>2</v>
      </c>
      <c r="E110">
        <v>1.4E-2</v>
      </c>
      <c r="I110" t="s">
        <v>126</v>
      </c>
      <c r="J110" t="s">
        <v>34</v>
      </c>
      <c r="K110" t="s">
        <v>109</v>
      </c>
      <c r="L110" t="s">
        <v>128</v>
      </c>
      <c r="M110">
        <v>37</v>
      </c>
      <c r="N110" t="s">
        <v>129</v>
      </c>
      <c r="O110" t="s">
        <v>130</v>
      </c>
      <c r="P110" t="s">
        <v>94</v>
      </c>
      <c r="Q110" t="s">
        <v>131</v>
      </c>
      <c r="R110" t="s">
        <v>35</v>
      </c>
      <c r="S110" t="s">
        <v>132</v>
      </c>
      <c r="T110">
        <v>3.0000000000000001E-3</v>
      </c>
    </row>
    <row r="111" spans="1:20" x14ac:dyDescent="0.3">
      <c r="A111" s="3">
        <v>52</v>
      </c>
      <c r="B111">
        <v>44</v>
      </c>
      <c r="C111">
        <v>36</v>
      </c>
      <c r="D111">
        <v>1</v>
      </c>
      <c r="E111">
        <v>1.25E-3</v>
      </c>
      <c r="I111" t="s">
        <v>126</v>
      </c>
      <c r="J111" t="s">
        <v>34</v>
      </c>
      <c r="K111" t="s">
        <v>111</v>
      </c>
      <c r="L111" t="s">
        <v>128</v>
      </c>
      <c r="M111">
        <v>33</v>
      </c>
      <c r="N111" t="s">
        <v>129</v>
      </c>
      <c r="O111" t="s">
        <v>130</v>
      </c>
      <c r="P111" t="s">
        <v>94</v>
      </c>
      <c r="Q111" t="s">
        <v>131</v>
      </c>
      <c r="R111" t="s">
        <v>35</v>
      </c>
      <c r="S111" t="s">
        <v>132</v>
      </c>
      <c r="T111">
        <v>6.0000000000000001E-3</v>
      </c>
    </row>
    <row r="112" spans="1:20" x14ac:dyDescent="0.3">
      <c r="A112" s="3">
        <v>53</v>
      </c>
      <c r="B112">
        <v>45</v>
      </c>
      <c r="C112">
        <v>38</v>
      </c>
      <c r="D112">
        <v>2</v>
      </c>
      <c r="E112">
        <v>8.0000000834843394E-3</v>
      </c>
      <c r="I112" t="s">
        <v>126</v>
      </c>
      <c r="J112" t="s">
        <v>34</v>
      </c>
      <c r="K112" t="s">
        <v>112</v>
      </c>
      <c r="L112" t="s">
        <v>128</v>
      </c>
      <c r="M112">
        <v>48</v>
      </c>
      <c r="N112" t="s">
        <v>129</v>
      </c>
      <c r="O112" t="s">
        <v>130</v>
      </c>
      <c r="P112" t="s">
        <v>106</v>
      </c>
      <c r="Q112" t="s">
        <v>131</v>
      </c>
      <c r="R112" t="s">
        <v>43</v>
      </c>
      <c r="S112" t="s">
        <v>132</v>
      </c>
      <c r="T112">
        <v>1.8749999999999999E-2</v>
      </c>
    </row>
    <row r="113" spans="1:20" x14ac:dyDescent="0.3">
      <c r="A113" s="3">
        <v>54</v>
      </c>
      <c r="B113">
        <v>39</v>
      </c>
      <c r="C113">
        <v>40</v>
      </c>
      <c r="D113">
        <v>1</v>
      </c>
      <c r="E113">
        <v>1.9999999999999901E-3</v>
      </c>
      <c r="I113" t="s">
        <v>126</v>
      </c>
      <c r="J113" t="s">
        <v>34</v>
      </c>
      <c r="K113" t="s">
        <v>113</v>
      </c>
      <c r="L113" t="s">
        <v>128</v>
      </c>
      <c r="M113">
        <v>34</v>
      </c>
      <c r="N113" t="s">
        <v>129</v>
      </c>
      <c r="O113" t="s">
        <v>130</v>
      </c>
      <c r="P113" t="s">
        <v>95</v>
      </c>
      <c r="Q113" t="s">
        <v>131</v>
      </c>
      <c r="R113" t="s">
        <v>43</v>
      </c>
      <c r="S113" t="s">
        <v>132</v>
      </c>
      <c r="T113">
        <v>2.0499999991501601E-2</v>
      </c>
    </row>
    <row r="114" spans="1:20" x14ac:dyDescent="0.3">
      <c r="A114" s="3">
        <v>55</v>
      </c>
      <c r="B114">
        <v>38</v>
      </c>
      <c r="C114">
        <v>39</v>
      </c>
      <c r="D114">
        <v>2</v>
      </c>
      <c r="E114">
        <v>1.1000000120475299E-2</v>
      </c>
      <c r="I114" t="s">
        <v>126</v>
      </c>
      <c r="J114" t="s">
        <v>34</v>
      </c>
      <c r="K114" t="s">
        <v>114</v>
      </c>
      <c r="L114" t="s">
        <v>128</v>
      </c>
      <c r="M114">
        <v>35</v>
      </c>
      <c r="N114" t="s">
        <v>129</v>
      </c>
      <c r="O114" t="s">
        <v>130</v>
      </c>
      <c r="P114" t="s">
        <v>107</v>
      </c>
      <c r="Q114" t="s">
        <v>131</v>
      </c>
      <c r="R114" t="s">
        <v>43</v>
      </c>
      <c r="S114" t="s">
        <v>132</v>
      </c>
      <c r="T114">
        <v>0.31025000000000003</v>
      </c>
    </row>
    <row r="115" spans="1:20" x14ac:dyDescent="0.3">
      <c r="A115" s="3">
        <v>56</v>
      </c>
      <c r="B115">
        <v>41</v>
      </c>
      <c r="C115">
        <v>40</v>
      </c>
      <c r="D115">
        <v>2</v>
      </c>
      <c r="E115">
        <v>2.325E-2</v>
      </c>
      <c r="I115" t="s">
        <v>126</v>
      </c>
      <c r="J115" t="s">
        <v>34</v>
      </c>
      <c r="K115" t="s">
        <v>115</v>
      </c>
      <c r="L115" t="s">
        <v>128</v>
      </c>
      <c r="M115">
        <v>36</v>
      </c>
      <c r="N115" t="s">
        <v>129</v>
      </c>
      <c r="O115" t="s">
        <v>130</v>
      </c>
      <c r="P115" t="s">
        <v>95</v>
      </c>
      <c r="Q115" t="s">
        <v>131</v>
      </c>
      <c r="R115" t="s">
        <v>43</v>
      </c>
      <c r="S115" t="s">
        <v>132</v>
      </c>
      <c r="T115">
        <v>1.4E-2</v>
      </c>
    </row>
    <row r="116" spans="1:20" x14ac:dyDescent="0.3">
      <c r="A116" s="3">
        <v>57</v>
      </c>
      <c r="B116">
        <v>42</v>
      </c>
      <c r="C116">
        <v>41</v>
      </c>
      <c r="D116">
        <v>2</v>
      </c>
      <c r="E116">
        <v>1.8749999999999999E-2</v>
      </c>
      <c r="I116" t="s">
        <v>126</v>
      </c>
      <c r="J116" t="s">
        <v>34</v>
      </c>
      <c r="K116" t="s">
        <v>116</v>
      </c>
      <c r="L116" t="s">
        <v>128</v>
      </c>
      <c r="M116">
        <v>44</v>
      </c>
      <c r="N116" t="s">
        <v>129</v>
      </c>
      <c r="O116" t="s">
        <v>130</v>
      </c>
      <c r="P116" t="s">
        <v>96</v>
      </c>
      <c r="Q116" t="s">
        <v>131</v>
      </c>
      <c r="R116" t="s">
        <v>35</v>
      </c>
      <c r="S116" t="s">
        <v>132</v>
      </c>
      <c r="T116">
        <v>1.25E-3</v>
      </c>
    </row>
    <row r="117" spans="1:20" x14ac:dyDescent="0.3">
      <c r="A117" s="3">
        <v>58</v>
      </c>
      <c r="B117">
        <v>44</v>
      </c>
      <c r="C117">
        <v>43</v>
      </c>
      <c r="D117">
        <v>1</v>
      </c>
      <c r="E117">
        <v>1.25E-3</v>
      </c>
      <c r="I117" t="s">
        <v>126</v>
      </c>
      <c r="J117" t="s">
        <v>34</v>
      </c>
      <c r="K117" t="s">
        <v>118</v>
      </c>
      <c r="L117" t="s">
        <v>128</v>
      </c>
      <c r="M117">
        <v>45</v>
      </c>
      <c r="N117" t="s">
        <v>129</v>
      </c>
      <c r="O117" t="s">
        <v>130</v>
      </c>
      <c r="P117" t="s">
        <v>101</v>
      </c>
      <c r="Q117" t="s">
        <v>131</v>
      </c>
      <c r="R117" t="s">
        <v>43</v>
      </c>
      <c r="S117" t="s">
        <v>132</v>
      </c>
      <c r="T117">
        <v>8.0000000834843394E-3</v>
      </c>
    </row>
    <row r="118" spans="1:20" x14ac:dyDescent="0.3">
      <c r="A118" s="3">
        <v>59</v>
      </c>
      <c r="B118">
        <v>42</v>
      </c>
      <c r="C118">
        <v>43</v>
      </c>
      <c r="D118">
        <v>1</v>
      </c>
      <c r="E118">
        <v>0.01</v>
      </c>
      <c r="I118" t="s">
        <v>126</v>
      </c>
      <c r="J118" t="s">
        <v>34</v>
      </c>
      <c r="K118" t="s">
        <v>119</v>
      </c>
      <c r="L118" t="s">
        <v>128</v>
      </c>
      <c r="M118">
        <v>39</v>
      </c>
      <c r="N118" t="s">
        <v>129</v>
      </c>
      <c r="O118" t="s">
        <v>130</v>
      </c>
      <c r="P118" t="s">
        <v>104</v>
      </c>
      <c r="Q118" t="s">
        <v>131</v>
      </c>
      <c r="R118" t="s">
        <v>35</v>
      </c>
      <c r="S118" t="s">
        <v>132</v>
      </c>
      <c r="T118">
        <v>1.9999999999999901E-3</v>
      </c>
    </row>
    <row r="119" spans="1:20" x14ac:dyDescent="0.3">
      <c r="A119" s="3">
        <v>60</v>
      </c>
      <c r="B119">
        <v>43</v>
      </c>
      <c r="C119">
        <v>49</v>
      </c>
      <c r="D119">
        <v>2</v>
      </c>
      <c r="E119">
        <v>0.32450000000000001</v>
      </c>
      <c r="I119" t="s">
        <v>126</v>
      </c>
      <c r="J119" t="s">
        <v>34</v>
      </c>
      <c r="K119" t="s">
        <v>120</v>
      </c>
      <c r="L119" t="s">
        <v>128</v>
      </c>
      <c r="M119">
        <v>38</v>
      </c>
      <c r="N119" t="s">
        <v>129</v>
      </c>
      <c r="O119" t="s">
        <v>130</v>
      </c>
      <c r="P119" t="s">
        <v>103</v>
      </c>
      <c r="Q119" t="s">
        <v>131</v>
      </c>
      <c r="R119" t="s">
        <v>43</v>
      </c>
      <c r="S119" t="s">
        <v>132</v>
      </c>
      <c r="T119">
        <v>1.1000000120475299E-2</v>
      </c>
    </row>
    <row r="120" spans="1:20" x14ac:dyDescent="0.3">
      <c r="A120" s="3">
        <v>61</v>
      </c>
      <c r="B120">
        <v>24</v>
      </c>
      <c r="C120">
        <v>23</v>
      </c>
      <c r="D120">
        <v>1</v>
      </c>
      <c r="E120">
        <v>5.2500000000000003E-3</v>
      </c>
      <c r="I120" t="s">
        <v>126</v>
      </c>
      <c r="J120" t="s">
        <v>34</v>
      </c>
      <c r="K120" t="s">
        <v>121</v>
      </c>
      <c r="L120" t="s">
        <v>128</v>
      </c>
      <c r="M120">
        <v>41</v>
      </c>
      <c r="N120" t="s">
        <v>129</v>
      </c>
      <c r="O120" t="s">
        <v>130</v>
      </c>
      <c r="P120" t="s">
        <v>104</v>
      </c>
      <c r="Q120" t="s">
        <v>131</v>
      </c>
      <c r="R120" t="s">
        <v>43</v>
      </c>
      <c r="S120" t="s">
        <v>132</v>
      </c>
      <c r="T120">
        <v>2.325E-2</v>
      </c>
    </row>
    <row r="121" spans="1:20" x14ac:dyDescent="0.3">
      <c r="A121" s="3">
        <v>62</v>
      </c>
      <c r="B121">
        <v>24</v>
      </c>
      <c r="C121">
        <v>36</v>
      </c>
      <c r="D121">
        <v>1</v>
      </c>
      <c r="E121">
        <v>1.7499999999999901E-3</v>
      </c>
      <c r="I121" t="s">
        <v>126</v>
      </c>
      <c r="J121" t="s">
        <v>34</v>
      </c>
      <c r="K121" t="s">
        <v>122</v>
      </c>
      <c r="L121" t="s">
        <v>128</v>
      </c>
      <c r="M121">
        <v>42</v>
      </c>
      <c r="N121" t="s">
        <v>129</v>
      </c>
      <c r="O121" t="s">
        <v>130</v>
      </c>
      <c r="P121" t="s">
        <v>105</v>
      </c>
      <c r="Q121" t="s">
        <v>131</v>
      </c>
      <c r="R121" t="s">
        <v>43</v>
      </c>
      <c r="S121" t="s">
        <v>132</v>
      </c>
      <c r="T121">
        <v>1.8749999999999999E-2</v>
      </c>
    </row>
    <row r="122" spans="1:20" x14ac:dyDescent="0.3">
      <c r="A122" s="3">
        <v>63</v>
      </c>
      <c r="B122">
        <v>51</v>
      </c>
      <c r="C122">
        <v>45</v>
      </c>
      <c r="D122">
        <v>2</v>
      </c>
      <c r="E122">
        <v>3.0000000479049002E-3</v>
      </c>
      <c r="I122" t="s">
        <v>126</v>
      </c>
      <c r="J122" t="s">
        <v>34</v>
      </c>
      <c r="K122" t="s">
        <v>124</v>
      </c>
      <c r="L122" t="s">
        <v>128</v>
      </c>
      <c r="M122">
        <v>44</v>
      </c>
      <c r="N122" t="s">
        <v>129</v>
      </c>
      <c r="O122" t="s">
        <v>130</v>
      </c>
      <c r="P122" t="s">
        <v>107</v>
      </c>
      <c r="Q122" t="s">
        <v>131</v>
      </c>
      <c r="R122" t="s">
        <v>35</v>
      </c>
      <c r="S122" t="s">
        <v>132</v>
      </c>
      <c r="T122">
        <v>1.25E-3</v>
      </c>
    </row>
    <row r="123" spans="1:20" x14ac:dyDescent="0.3">
      <c r="A123" s="3">
        <v>64</v>
      </c>
      <c r="B123">
        <v>47</v>
      </c>
      <c r="C123">
        <v>48</v>
      </c>
      <c r="D123">
        <v>2</v>
      </c>
      <c r="E123">
        <v>1.0749999999999999E-2</v>
      </c>
      <c r="I123" t="s">
        <v>126</v>
      </c>
      <c r="J123" t="s">
        <v>34</v>
      </c>
      <c r="K123" t="s">
        <v>133</v>
      </c>
      <c r="L123" t="s">
        <v>128</v>
      </c>
      <c r="M123">
        <v>42</v>
      </c>
      <c r="N123" t="s">
        <v>129</v>
      </c>
      <c r="O123" t="s">
        <v>130</v>
      </c>
      <c r="P123" t="s">
        <v>107</v>
      </c>
      <c r="Q123" t="s">
        <v>131</v>
      </c>
      <c r="R123" t="s">
        <v>35</v>
      </c>
      <c r="S123" t="s">
        <v>132</v>
      </c>
      <c r="T123">
        <v>0.01</v>
      </c>
    </row>
    <row r="124" spans="1:20" x14ac:dyDescent="0.3">
      <c r="A124" s="3">
        <v>65</v>
      </c>
      <c r="B124">
        <v>52</v>
      </c>
      <c r="C124">
        <v>47</v>
      </c>
      <c r="D124">
        <v>2</v>
      </c>
      <c r="E124">
        <v>0</v>
      </c>
      <c r="I124" t="s">
        <v>126</v>
      </c>
      <c r="J124" t="s">
        <v>34</v>
      </c>
      <c r="K124" t="s">
        <v>134</v>
      </c>
      <c r="L124" t="s">
        <v>128</v>
      </c>
      <c r="M124">
        <v>43</v>
      </c>
      <c r="N124" t="s">
        <v>129</v>
      </c>
      <c r="O124" t="s">
        <v>130</v>
      </c>
      <c r="P124" t="s">
        <v>114</v>
      </c>
      <c r="Q124" t="s">
        <v>131</v>
      </c>
      <c r="R124" t="s">
        <v>43</v>
      </c>
      <c r="S124" t="s">
        <v>132</v>
      </c>
      <c r="T124">
        <v>0.32450000000000001</v>
      </c>
    </row>
    <row r="125" spans="1:20" x14ac:dyDescent="0.3">
      <c r="A125" s="3">
        <v>66</v>
      </c>
      <c r="B125">
        <v>46</v>
      </c>
      <c r="C125">
        <v>47</v>
      </c>
      <c r="D125">
        <v>1</v>
      </c>
      <c r="E125">
        <v>2.2499999999999998E-3</v>
      </c>
      <c r="I125" t="s">
        <v>126</v>
      </c>
      <c r="J125" t="s">
        <v>34</v>
      </c>
      <c r="K125" t="s">
        <v>135</v>
      </c>
      <c r="L125" t="s">
        <v>128</v>
      </c>
      <c r="M125">
        <v>24</v>
      </c>
      <c r="N125" t="s">
        <v>129</v>
      </c>
      <c r="O125" t="s">
        <v>130</v>
      </c>
      <c r="P125" t="s">
        <v>79</v>
      </c>
      <c r="Q125" t="s">
        <v>131</v>
      </c>
      <c r="R125" t="s">
        <v>35</v>
      </c>
      <c r="S125" t="s">
        <v>132</v>
      </c>
      <c r="T125">
        <v>5.2500000000000003E-3</v>
      </c>
    </row>
    <row r="126" spans="1:20" x14ac:dyDescent="0.3">
      <c r="A126" s="3">
        <v>67</v>
      </c>
      <c r="B126">
        <v>41</v>
      </c>
      <c r="C126">
        <v>47</v>
      </c>
      <c r="D126">
        <v>1</v>
      </c>
      <c r="E126">
        <v>1.4999999999999901E-3</v>
      </c>
      <c r="I126" t="s">
        <v>126</v>
      </c>
      <c r="J126" t="s">
        <v>34</v>
      </c>
      <c r="K126" t="s">
        <v>136</v>
      </c>
      <c r="L126" t="s">
        <v>128</v>
      </c>
      <c r="M126">
        <v>24</v>
      </c>
      <c r="N126" t="s">
        <v>129</v>
      </c>
      <c r="O126" t="s">
        <v>130</v>
      </c>
      <c r="P126" t="s">
        <v>96</v>
      </c>
      <c r="Q126" t="s">
        <v>131</v>
      </c>
      <c r="R126" t="s">
        <v>35</v>
      </c>
      <c r="S126" t="s">
        <v>132</v>
      </c>
      <c r="T126">
        <v>1.7499999999999901E-3</v>
      </c>
    </row>
    <row r="127" spans="1:20" x14ac:dyDescent="0.3">
      <c r="A127" s="3">
        <v>68</v>
      </c>
      <c r="B127">
        <v>49</v>
      </c>
      <c r="C127">
        <v>54</v>
      </c>
      <c r="D127">
        <v>1</v>
      </c>
      <c r="E127">
        <v>0.32450000000000001</v>
      </c>
      <c r="I127" t="s">
        <v>126</v>
      </c>
      <c r="J127" t="s">
        <v>34</v>
      </c>
      <c r="K127" t="s">
        <v>137</v>
      </c>
      <c r="L127" t="s">
        <v>128</v>
      </c>
      <c r="M127">
        <v>51</v>
      </c>
      <c r="N127" t="s">
        <v>129</v>
      </c>
      <c r="O127" t="s">
        <v>130</v>
      </c>
      <c r="P127" t="s">
        <v>109</v>
      </c>
      <c r="Q127" t="s">
        <v>131</v>
      </c>
      <c r="R127" t="s">
        <v>43</v>
      </c>
      <c r="S127" t="s">
        <v>132</v>
      </c>
      <c r="T127">
        <v>3.0000000479049002E-3</v>
      </c>
    </row>
    <row r="128" spans="1:20" x14ac:dyDescent="0.3">
      <c r="A128" s="3">
        <v>69</v>
      </c>
      <c r="B128">
        <v>46</v>
      </c>
      <c r="C128">
        <v>39</v>
      </c>
      <c r="D128">
        <v>1</v>
      </c>
      <c r="E128">
        <v>7.5000000000000002E-4</v>
      </c>
      <c r="I128" t="s">
        <v>126</v>
      </c>
      <c r="J128" t="s">
        <v>34</v>
      </c>
      <c r="K128" t="s">
        <v>138</v>
      </c>
      <c r="L128" t="s">
        <v>128</v>
      </c>
      <c r="M128">
        <v>47</v>
      </c>
      <c r="N128" t="s">
        <v>129</v>
      </c>
      <c r="O128" t="s">
        <v>130</v>
      </c>
      <c r="P128" t="s">
        <v>113</v>
      </c>
      <c r="Q128" t="s">
        <v>131</v>
      </c>
      <c r="R128" t="s">
        <v>43</v>
      </c>
      <c r="S128" t="s">
        <v>132</v>
      </c>
      <c r="T128">
        <v>1.0749999999999999E-2</v>
      </c>
    </row>
    <row r="129" spans="1:20" x14ac:dyDescent="0.3">
      <c r="A129" s="3">
        <v>70</v>
      </c>
      <c r="B129">
        <v>44</v>
      </c>
      <c r="C129">
        <v>50</v>
      </c>
      <c r="D129">
        <v>1</v>
      </c>
      <c r="E129">
        <v>2.4999999999999901E-3</v>
      </c>
      <c r="I129" t="s">
        <v>126</v>
      </c>
      <c r="J129" t="s">
        <v>34</v>
      </c>
      <c r="K129" t="s">
        <v>139</v>
      </c>
      <c r="L129" t="s">
        <v>128</v>
      </c>
      <c r="M129">
        <v>52</v>
      </c>
      <c r="N129" t="s">
        <v>129</v>
      </c>
      <c r="O129" t="s">
        <v>130</v>
      </c>
      <c r="P129" t="s">
        <v>112</v>
      </c>
      <c r="Q129" t="s">
        <v>131</v>
      </c>
      <c r="R129" t="s">
        <v>43</v>
      </c>
      <c r="S129" t="s">
        <v>132</v>
      </c>
      <c r="T129">
        <v>0</v>
      </c>
    </row>
    <row r="130" spans="1:20" x14ac:dyDescent="0.3">
      <c r="A130" s="3">
        <v>71</v>
      </c>
      <c r="B130">
        <v>52</v>
      </c>
      <c r="C130">
        <v>51</v>
      </c>
      <c r="D130">
        <v>1</v>
      </c>
      <c r="E130">
        <v>0</v>
      </c>
      <c r="I130" t="s">
        <v>126</v>
      </c>
      <c r="J130" t="s">
        <v>34</v>
      </c>
      <c r="K130" t="s">
        <v>140</v>
      </c>
      <c r="L130" t="s">
        <v>128</v>
      </c>
      <c r="M130">
        <v>46</v>
      </c>
      <c r="N130" t="s">
        <v>129</v>
      </c>
      <c r="O130" t="s">
        <v>130</v>
      </c>
      <c r="P130" t="s">
        <v>112</v>
      </c>
      <c r="Q130" t="s">
        <v>131</v>
      </c>
      <c r="R130" t="s">
        <v>35</v>
      </c>
      <c r="S130" t="s">
        <v>132</v>
      </c>
      <c r="T130">
        <v>2.2499999999999998E-3</v>
      </c>
    </row>
    <row r="131" spans="1:20" x14ac:dyDescent="0.3">
      <c r="A131" s="3">
        <v>72</v>
      </c>
      <c r="B131">
        <v>53</v>
      </c>
      <c r="C131">
        <v>52</v>
      </c>
      <c r="D131">
        <v>1</v>
      </c>
      <c r="E131">
        <v>0</v>
      </c>
      <c r="I131" t="s">
        <v>126</v>
      </c>
      <c r="J131" t="s">
        <v>34</v>
      </c>
      <c r="K131" t="s">
        <v>141</v>
      </c>
      <c r="L131" t="s">
        <v>128</v>
      </c>
      <c r="M131">
        <v>41</v>
      </c>
      <c r="N131" t="s">
        <v>129</v>
      </c>
      <c r="O131" t="s">
        <v>130</v>
      </c>
      <c r="P131" t="s">
        <v>112</v>
      </c>
      <c r="Q131" t="s">
        <v>131</v>
      </c>
      <c r="R131" t="s">
        <v>35</v>
      </c>
      <c r="S131" t="s">
        <v>132</v>
      </c>
      <c r="T131">
        <v>1.4999999999999901E-3</v>
      </c>
    </row>
    <row r="132" spans="1:20" x14ac:dyDescent="0.3">
      <c r="A132" s="3">
        <v>73</v>
      </c>
      <c r="B132">
        <v>53</v>
      </c>
      <c r="C132">
        <v>54</v>
      </c>
      <c r="D132">
        <v>1</v>
      </c>
      <c r="E132">
        <v>0</v>
      </c>
      <c r="I132" t="s">
        <v>126</v>
      </c>
      <c r="J132" t="s">
        <v>34</v>
      </c>
      <c r="K132" t="s">
        <v>142</v>
      </c>
      <c r="L132" t="s">
        <v>128</v>
      </c>
      <c r="M132">
        <v>49</v>
      </c>
      <c r="N132" t="s">
        <v>129</v>
      </c>
      <c r="O132" t="s">
        <v>130</v>
      </c>
      <c r="P132" t="s">
        <v>120</v>
      </c>
      <c r="Q132" t="s">
        <v>131</v>
      </c>
      <c r="R132" t="s">
        <v>35</v>
      </c>
      <c r="S132" t="s">
        <v>132</v>
      </c>
      <c r="T132">
        <v>0.32450000000000001</v>
      </c>
    </row>
    <row r="133" spans="1:20" x14ac:dyDescent="0.3">
      <c r="A133" s="3">
        <v>74</v>
      </c>
      <c r="B133">
        <v>54</v>
      </c>
      <c r="C133">
        <v>56</v>
      </c>
      <c r="D133">
        <v>2</v>
      </c>
      <c r="E133">
        <v>0.32450000000000001</v>
      </c>
      <c r="I133" t="s">
        <v>126</v>
      </c>
      <c r="J133" t="s">
        <v>34</v>
      </c>
      <c r="K133" t="s">
        <v>143</v>
      </c>
      <c r="L133" t="s">
        <v>128</v>
      </c>
      <c r="M133">
        <v>46</v>
      </c>
      <c r="N133" t="s">
        <v>129</v>
      </c>
      <c r="O133" t="s">
        <v>130</v>
      </c>
      <c r="P133" t="s">
        <v>103</v>
      </c>
      <c r="Q133" t="s">
        <v>131</v>
      </c>
      <c r="R133" t="s">
        <v>35</v>
      </c>
      <c r="S133" t="s">
        <v>132</v>
      </c>
      <c r="T133">
        <v>7.5000000000000002E-4</v>
      </c>
    </row>
    <row r="134" spans="1:20" x14ac:dyDescent="0.3">
      <c r="A134" s="3">
        <v>75</v>
      </c>
      <c r="B134">
        <v>6</v>
      </c>
      <c r="C134">
        <v>55</v>
      </c>
      <c r="D134">
        <v>1</v>
      </c>
      <c r="E134">
        <v>2.5000000000000001E-3</v>
      </c>
      <c r="I134" t="s">
        <v>126</v>
      </c>
      <c r="J134" t="s">
        <v>34</v>
      </c>
      <c r="K134" t="s">
        <v>144</v>
      </c>
      <c r="L134" t="s">
        <v>128</v>
      </c>
      <c r="M134">
        <v>44</v>
      </c>
      <c r="N134" t="s">
        <v>129</v>
      </c>
      <c r="O134" t="s">
        <v>130</v>
      </c>
      <c r="P134" t="s">
        <v>115</v>
      </c>
      <c r="Q134" t="s">
        <v>131</v>
      </c>
      <c r="R134" t="s">
        <v>35</v>
      </c>
      <c r="S134" t="s">
        <v>132</v>
      </c>
      <c r="T134">
        <v>2.4999999999999901E-3</v>
      </c>
    </row>
    <row r="135" spans="1:20" x14ac:dyDescent="0.3">
      <c r="A135" s="3">
        <v>76</v>
      </c>
      <c r="B135">
        <v>5</v>
      </c>
      <c r="C135">
        <v>55</v>
      </c>
      <c r="D135">
        <v>1</v>
      </c>
      <c r="E135">
        <v>5.2500000000000003E-3</v>
      </c>
      <c r="I135" t="s">
        <v>126</v>
      </c>
      <c r="J135" t="s">
        <v>34</v>
      </c>
      <c r="K135" t="s">
        <v>145</v>
      </c>
      <c r="L135" t="s">
        <v>128</v>
      </c>
      <c r="M135">
        <v>52</v>
      </c>
      <c r="N135" t="s">
        <v>129</v>
      </c>
      <c r="O135" t="s">
        <v>130</v>
      </c>
      <c r="P135" t="s">
        <v>116</v>
      </c>
      <c r="Q135" t="s">
        <v>131</v>
      </c>
      <c r="R135" t="s">
        <v>35</v>
      </c>
      <c r="S135" t="s">
        <v>132</v>
      </c>
      <c r="T135">
        <v>0</v>
      </c>
    </row>
    <row r="136" spans="1:20" x14ac:dyDescent="0.3">
      <c r="A136" s="3">
        <v>77</v>
      </c>
      <c r="B136">
        <v>50</v>
      </c>
      <c r="C136">
        <v>56</v>
      </c>
      <c r="D136">
        <v>2</v>
      </c>
      <c r="E136">
        <v>2.4999999999999901E-3</v>
      </c>
      <c r="I136" t="s">
        <v>126</v>
      </c>
      <c r="J136" t="s">
        <v>34</v>
      </c>
      <c r="K136" t="s">
        <v>146</v>
      </c>
      <c r="L136" t="s">
        <v>128</v>
      </c>
      <c r="M136">
        <v>53</v>
      </c>
      <c r="N136" t="s">
        <v>129</v>
      </c>
      <c r="O136" t="s">
        <v>130</v>
      </c>
      <c r="P136" t="s">
        <v>118</v>
      </c>
      <c r="Q136" t="s">
        <v>131</v>
      </c>
      <c r="R136" t="s">
        <v>35</v>
      </c>
      <c r="S136" t="s">
        <v>132</v>
      </c>
      <c r="T136">
        <v>0</v>
      </c>
    </row>
    <row r="137" spans="1:20" x14ac:dyDescent="0.3">
      <c r="A137" s="3">
        <v>78</v>
      </c>
      <c r="B137">
        <v>56</v>
      </c>
      <c r="C137">
        <v>57</v>
      </c>
      <c r="D137">
        <v>2</v>
      </c>
      <c r="E137">
        <v>0.34</v>
      </c>
      <c r="I137" t="s">
        <v>126</v>
      </c>
      <c r="J137" t="s">
        <v>34</v>
      </c>
      <c r="K137" t="s">
        <v>147</v>
      </c>
      <c r="L137" t="s">
        <v>128</v>
      </c>
      <c r="M137">
        <v>53</v>
      </c>
      <c r="N137" t="s">
        <v>129</v>
      </c>
      <c r="O137" t="s">
        <v>130</v>
      </c>
      <c r="P137" t="s">
        <v>120</v>
      </c>
      <c r="Q137" t="s">
        <v>131</v>
      </c>
      <c r="R137" t="s">
        <v>35</v>
      </c>
      <c r="S137" t="s">
        <v>132</v>
      </c>
      <c r="T137">
        <v>0</v>
      </c>
    </row>
    <row r="138" spans="1:20" x14ac:dyDescent="0.3">
      <c r="I138" t="s">
        <v>126</v>
      </c>
      <c r="J138" t="s">
        <v>34</v>
      </c>
      <c r="K138" t="s">
        <v>148</v>
      </c>
      <c r="L138" t="s">
        <v>128</v>
      </c>
      <c r="M138">
        <v>54</v>
      </c>
      <c r="N138" t="s">
        <v>129</v>
      </c>
      <c r="O138" t="s">
        <v>130</v>
      </c>
      <c r="P138" t="s">
        <v>122</v>
      </c>
      <c r="Q138" t="s">
        <v>131</v>
      </c>
      <c r="R138" t="s">
        <v>43</v>
      </c>
      <c r="S138" t="s">
        <v>132</v>
      </c>
      <c r="T138">
        <v>0.32450000000000001</v>
      </c>
    </row>
    <row r="139" spans="1:20" x14ac:dyDescent="0.3">
      <c r="I139" t="s">
        <v>126</v>
      </c>
      <c r="J139" t="s">
        <v>34</v>
      </c>
      <c r="K139" t="s">
        <v>149</v>
      </c>
      <c r="L139" t="s">
        <v>128</v>
      </c>
      <c r="M139">
        <v>6</v>
      </c>
      <c r="N139" t="s">
        <v>129</v>
      </c>
      <c r="O139" t="s">
        <v>130</v>
      </c>
      <c r="P139" t="s">
        <v>121</v>
      </c>
      <c r="Q139" t="s">
        <v>131</v>
      </c>
      <c r="R139" t="s">
        <v>35</v>
      </c>
      <c r="S139" t="s">
        <v>132</v>
      </c>
      <c r="T139">
        <v>2.5000000000000001E-3</v>
      </c>
    </row>
    <row r="140" spans="1:20" x14ac:dyDescent="0.3">
      <c r="I140" t="s">
        <v>126</v>
      </c>
      <c r="J140" t="s">
        <v>34</v>
      </c>
      <c r="K140" t="s">
        <v>150</v>
      </c>
      <c r="L140" t="s">
        <v>128</v>
      </c>
      <c r="M140">
        <v>5</v>
      </c>
      <c r="N140" t="s">
        <v>129</v>
      </c>
      <c r="O140" t="s">
        <v>130</v>
      </c>
      <c r="P140" t="s">
        <v>121</v>
      </c>
      <c r="Q140" t="s">
        <v>131</v>
      </c>
      <c r="R140" t="s">
        <v>35</v>
      </c>
      <c r="S140" t="s">
        <v>132</v>
      </c>
      <c r="T140">
        <v>5.2500000000000003E-3</v>
      </c>
    </row>
    <row r="141" spans="1:20" x14ac:dyDescent="0.3">
      <c r="I141" t="s">
        <v>126</v>
      </c>
      <c r="J141" t="s">
        <v>34</v>
      </c>
      <c r="K141" t="s">
        <v>151</v>
      </c>
      <c r="L141" t="s">
        <v>128</v>
      </c>
      <c r="M141">
        <v>50</v>
      </c>
      <c r="N141" t="s">
        <v>129</v>
      </c>
      <c r="O141" t="s">
        <v>130</v>
      </c>
      <c r="P141" t="s">
        <v>122</v>
      </c>
      <c r="Q141" t="s">
        <v>131</v>
      </c>
      <c r="R141" t="s">
        <v>43</v>
      </c>
      <c r="S141" t="s">
        <v>132</v>
      </c>
      <c r="T141">
        <v>2.4999999999999901E-3</v>
      </c>
    </row>
    <row r="142" spans="1:20" x14ac:dyDescent="0.3">
      <c r="I142" t="s">
        <v>126</v>
      </c>
      <c r="J142" t="s">
        <v>34</v>
      </c>
      <c r="K142" t="s">
        <v>152</v>
      </c>
      <c r="L142" t="s">
        <v>128</v>
      </c>
      <c r="M142">
        <v>56</v>
      </c>
      <c r="N142" t="s">
        <v>129</v>
      </c>
      <c r="O142" t="s">
        <v>130</v>
      </c>
      <c r="P142" t="s">
        <v>124</v>
      </c>
      <c r="Q142" t="s">
        <v>131</v>
      </c>
      <c r="R142" t="s">
        <v>43</v>
      </c>
      <c r="S142" t="s">
        <v>132</v>
      </c>
      <c r="T142">
        <v>0.34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18F67-8985-4578-8469-0C409F4E571C}">
  <dimension ref="A1:G17"/>
  <sheetViews>
    <sheetView tabSelected="1" workbookViewId="0">
      <selection activeCell="D10" sqref="D10"/>
    </sheetView>
  </sheetViews>
  <sheetFormatPr defaultRowHeight="14.4" x14ac:dyDescent="0.3"/>
  <cols>
    <col min="1" max="1" width="13" customWidth="1"/>
    <col min="2" max="2" width="27.109375" bestFit="1" customWidth="1"/>
    <col min="3" max="3" width="27.109375" customWidth="1"/>
    <col min="4" max="4" width="21" style="4" bestFit="1" customWidth="1"/>
    <col min="5" max="5" width="29.44140625" style="4" customWidth="1"/>
    <col min="6" max="6" width="13.33203125" customWidth="1"/>
  </cols>
  <sheetData>
    <row r="1" spans="1:7" x14ac:dyDescent="0.3">
      <c r="A1" s="3"/>
      <c r="B1" s="3"/>
      <c r="C1" s="3"/>
      <c r="D1" s="4" t="s">
        <v>16</v>
      </c>
      <c r="E1" s="4" t="s">
        <v>15</v>
      </c>
    </row>
    <row r="2" spans="1:7" x14ac:dyDescent="0.3">
      <c r="A2" s="3" t="s">
        <v>10</v>
      </c>
      <c r="B2" s="3" t="s">
        <v>23</v>
      </c>
      <c r="C2" s="3" t="s">
        <v>17</v>
      </c>
      <c r="D2" s="4">
        <v>273545.42332478397</v>
      </c>
      <c r="E2" s="4">
        <v>2.4999999999999901E-3</v>
      </c>
    </row>
    <row r="3" spans="1:7" x14ac:dyDescent="0.3">
      <c r="A3" s="3" t="s">
        <v>11</v>
      </c>
      <c r="B3" s="3" t="s">
        <v>25</v>
      </c>
      <c r="C3" s="3" t="s">
        <v>18</v>
      </c>
      <c r="D3" s="4">
        <v>794025.98817518796</v>
      </c>
      <c r="E3" s="4">
        <v>2.4999999999999901E-3</v>
      </c>
    </row>
    <row r="4" spans="1:7" x14ac:dyDescent="0.3">
      <c r="A4" s="3" t="s">
        <v>12</v>
      </c>
      <c r="B4" s="3" t="s">
        <v>24</v>
      </c>
      <c r="C4" s="3" t="s">
        <v>19</v>
      </c>
      <c r="D4" s="4">
        <v>409972.140398686</v>
      </c>
      <c r="E4" s="4">
        <v>0.34</v>
      </c>
    </row>
    <row r="5" spans="1:7" x14ac:dyDescent="0.3">
      <c r="A5" s="3" t="s">
        <v>13</v>
      </c>
      <c r="B5" s="3" t="s">
        <v>23</v>
      </c>
      <c r="C5" s="3" t="s">
        <v>20</v>
      </c>
      <c r="D5" s="4">
        <v>273545.42332478397</v>
      </c>
      <c r="E5" s="4">
        <v>0.32450000000000001</v>
      </c>
    </row>
    <row r="6" spans="1:7" x14ac:dyDescent="0.3">
      <c r="A6" s="3" t="s">
        <v>14</v>
      </c>
      <c r="B6" s="3" t="s">
        <v>22</v>
      </c>
      <c r="C6" s="3" t="s">
        <v>21</v>
      </c>
      <c r="D6" s="4">
        <v>509406.28957037401</v>
      </c>
      <c r="E6" s="4">
        <v>0.32450000000000001</v>
      </c>
    </row>
    <row r="7" spans="1:7" x14ac:dyDescent="0.3">
      <c r="A7" t="s">
        <v>9</v>
      </c>
    </row>
    <row r="12" spans="1:7" x14ac:dyDescent="0.3">
      <c r="A12" s="3" t="s">
        <v>153</v>
      </c>
      <c r="B12" s="3" t="s">
        <v>154</v>
      </c>
      <c r="C12" t="s">
        <v>155</v>
      </c>
      <c r="D12" t="s">
        <v>156</v>
      </c>
      <c r="E12" t="s">
        <v>157</v>
      </c>
      <c r="F12" t="s">
        <v>164</v>
      </c>
      <c r="G12" t="s">
        <v>165</v>
      </c>
    </row>
    <row r="13" spans="1:7" x14ac:dyDescent="0.3">
      <c r="A13" s="3">
        <v>44</v>
      </c>
      <c r="B13" s="3">
        <v>50</v>
      </c>
      <c r="C13">
        <v>1</v>
      </c>
      <c r="D13">
        <v>2.4999999999999901E-3</v>
      </c>
      <c r="E13" s="5" t="s">
        <v>158</v>
      </c>
      <c r="F13">
        <f>E13/D13</f>
        <v>109418169.32991402</v>
      </c>
    </row>
    <row r="14" spans="1:7" x14ac:dyDescent="0.3">
      <c r="A14" s="3">
        <v>50</v>
      </c>
      <c r="B14" s="3">
        <v>56</v>
      </c>
      <c r="C14">
        <v>1</v>
      </c>
      <c r="D14">
        <v>2.4999999999999901E-3</v>
      </c>
      <c r="E14" s="5" t="s">
        <v>159</v>
      </c>
      <c r="F14">
        <f t="shared" ref="F14:F17" si="0">E14/D14</f>
        <v>317610395.27007645</v>
      </c>
    </row>
    <row r="15" spans="1:7" x14ac:dyDescent="0.3">
      <c r="A15" s="3">
        <v>56</v>
      </c>
      <c r="B15" s="3">
        <v>57</v>
      </c>
      <c r="C15">
        <v>1</v>
      </c>
      <c r="D15" s="5" t="s">
        <v>160</v>
      </c>
      <c r="E15" s="5" t="s">
        <v>161</v>
      </c>
      <c r="F15">
        <f t="shared" si="0"/>
        <v>1205800.4129373117</v>
      </c>
    </row>
    <row r="16" spans="1:7" x14ac:dyDescent="0.3">
      <c r="A16" s="3">
        <v>49</v>
      </c>
      <c r="B16" s="3">
        <v>54</v>
      </c>
      <c r="C16">
        <v>1</v>
      </c>
      <c r="D16" s="5" t="s">
        <v>162</v>
      </c>
      <c r="E16" s="5" t="s">
        <v>158</v>
      </c>
      <c r="F16">
        <f t="shared" si="0"/>
        <v>842975.11039995053</v>
      </c>
    </row>
    <row r="17" spans="1:6" x14ac:dyDescent="0.3">
      <c r="A17" s="3">
        <v>54</v>
      </c>
      <c r="B17" s="3">
        <v>56</v>
      </c>
      <c r="C17">
        <v>1</v>
      </c>
      <c r="D17" s="5" t="s">
        <v>162</v>
      </c>
      <c r="E17" s="5" t="s">
        <v>163</v>
      </c>
      <c r="F17">
        <f t="shared" si="0"/>
        <v>1569819.0741768074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49C1C-6FA3-4620-836C-8FC93A6C9C80}">
  <dimension ref="A1:O79"/>
  <sheetViews>
    <sheetView topLeftCell="A61" workbookViewId="0">
      <selection activeCell="N79" sqref="N79"/>
    </sheetView>
  </sheetViews>
  <sheetFormatPr defaultRowHeight="14.4" x14ac:dyDescent="0.3"/>
  <cols>
    <col min="14" max="14" width="10.88671875" customWidth="1"/>
    <col min="15" max="15" width="13.21875" bestFit="1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1" t="s">
        <v>5</v>
      </c>
      <c r="M1" s="1" t="s">
        <v>6</v>
      </c>
      <c r="N1" s="1" t="s">
        <v>164</v>
      </c>
      <c r="O1" s="1" t="s">
        <v>165</v>
      </c>
    </row>
    <row r="2" spans="1:15" x14ac:dyDescent="0.3">
      <c r="A2">
        <v>1</v>
      </c>
      <c r="B2" s="2">
        <v>2</v>
      </c>
      <c r="C2" s="2">
        <v>1</v>
      </c>
      <c r="D2">
        <v>2.5</v>
      </c>
      <c r="E2">
        <v>5.0000000000000001E-3</v>
      </c>
      <c r="F2">
        <v>4</v>
      </c>
      <c r="G2">
        <v>3</v>
      </c>
      <c r="H2">
        <v>3.0000000000000001E-3</v>
      </c>
      <c r="I2">
        <v>1</v>
      </c>
      <c r="L2">
        <v>4</v>
      </c>
      <c r="M2">
        <v>3</v>
      </c>
      <c r="N2">
        <v>3.0000000000000001E-3</v>
      </c>
      <c r="O2">
        <v>1</v>
      </c>
    </row>
    <row r="3" spans="1:15" x14ac:dyDescent="0.3">
      <c r="A3">
        <v>2</v>
      </c>
      <c r="B3" s="2">
        <v>4</v>
      </c>
      <c r="C3" s="2">
        <v>1</v>
      </c>
      <c r="D3">
        <v>2.6</v>
      </c>
      <c r="E3">
        <v>6.0000000000000001E-3</v>
      </c>
      <c r="F3">
        <v>1</v>
      </c>
      <c r="G3">
        <v>2</v>
      </c>
      <c r="H3">
        <v>3.0000000000000001E-3</v>
      </c>
      <c r="I3">
        <v>1</v>
      </c>
      <c r="L3">
        <v>1</v>
      </c>
      <c r="M3">
        <v>2</v>
      </c>
      <c r="N3">
        <v>3.0000000000000001E-3</v>
      </c>
      <c r="O3">
        <v>1</v>
      </c>
    </row>
    <row r="4" spans="1:15" x14ac:dyDescent="0.3">
      <c r="A4">
        <v>3</v>
      </c>
      <c r="B4" s="2">
        <v>5.7</v>
      </c>
      <c r="C4" s="2">
        <v>1</v>
      </c>
      <c r="D4">
        <v>2.7</v>
      </c>
      <c r="E4">
        <v>5.0000000000000001E-3</v>
      </c>
      <c r="F4">
        <v>2</v>
      </c>
      <c r="G4">
        <v>55</v>
      </c>
      <c r="H4">
        <v>3.8E-3</v>
      </c>
      <c r="I4">
        <v>1</v>
      </c>
      <c r="L4">
        <v>2</v>
      </c>
      <c r="M4">
        <v>55</v>
      </c>
      <c r="N4">
        <v>3.8E-3</v>
      </c>
      <c r="O4">
        <v>1</v>
      </c>
    </row>
    <row r="5" spans="1:15" x14ac:dyDescent="0.3">
      <c r="A5">
        <v>4</v>
      </c>
      <c r="B5" s="2">
        <v>7</v>
      </c>
      <c r="C5" s="2">
        <v>1</v>
      </c>
      <c r="D5">
        <v>2.8</v>
      </c>
      <c r="E5">
        <v>3.0000000000000001E-3</v>
      </c>
      <c r="F5">
        <v>1</v>
      </c>
      <c r="G5">
        <v>7</v>
      </c>
      <c r="H5">
        <v>3.0000000000000001E-3</v>
      </c>
      <c r="I5">
        <v>1</v>
      </c>
      <c r="L5">
        <v>1</v>
      </c>
      <c r="M5">
        <v>7</v>
      </c>
      <c r="N5">
        <v>3.0000000000000001E-3</v>
      </c>
      <c r="O5">
        <v>1</v>
      </c>
    </row>
    <row r="6" spans="1:15" x14ac:dyDescent="0.3">
      <c r="A6">
        <v>5</v>
      </c>
      <c r="B6" s="2">
        <v>2.5</v>
      </c>
      <c r="C6" s="2">
        <v>2</v>
      </c>
      <c r="D6">
        <v>2.6</v>
      </c>
      <c r="E6">
        <v>7.0000000000000001E-3</v>
      </c>
      <c r="F6">
        <v>19</v>
      </c>
      <c r="G6">
        <v>18</v>
      </c>
      <c r="H6">
        <v>3.0000000000000001E-3</v>
      </c>
      <c r="I6">
        <v>1</v>
      </c>
      <c r="L6">
        <v>19</v>
      </c>
      <c r="M6">
        <v>18</v>
      </c>
      <c r="N6">
        <v>3.0000000000000001E-3</v>
      </c>
      <c r="O6">
        <v>1</v>
      </c>
    </row>
    <row r="7" spans="1:15" x14ac:dyDescent="0.3">
      <c r="A7">
        <v>6</v>
      </c>
      <c r="B7" s="2">
        <v>5</v>
      </c>
      <c r="C7" s="2">
        <v>2</v>
      </c>
      <c r="D7">
        <v>2.6</v>
      </c>
      <c r="E7">
        <v>0.01</v>
      </c>
      <c r="F7">
        <v>5</v>
      </c>
      <c r="G7">
        <v>8</v>
      </c>
      <c r="H7">
        <v>3.0000000000000001E-3</v>
      </c>
      <c r="I7">
        <v>1</v>
      </c>
      <c r="L7">
        <v>5</v>
      </c>
      <c r="M7">
        <v>8</v>
      </c>
      <c r="N7">
        <v>3.0000000000000001E-3</v>
      </c>
      <c r="O7">
        <v>1</v>
      </c>
    </row>
    <row r="8" spans="1:15" x14ac:dyDescent="0.3">
      <c r="A8">
        <v>7</v>
      </c>
      <c r="B8" s="2">
        <v>1</v>
      </c>
      <c r="C8" s="2">
        <v>3</v>
      </c>
      <c r="D8">
        <v>2.2999999999999998</v>
      </c>
      <c r="E8">
        <v>8.9999999999999993E-3</v>
      </c>
      <c r="F8">
        <v>6</v>
      </c>
      <c r="G8">
        <v>11</v>
      </c>
      <c r="H8">
        <v>2.7000000000000001E-3</v>
      </c>
      <c r="I8">
        <v>1</v>
      </c>
      <c r="L8">
        <v>6</v>
      </c>
      <c r="M8">
        <v>11</v>
      </c>
      <c r="N8">
        <v>2.7000000000000001E-3</v>
      </c>
      <c r="O8">
        <v>1</v>
      </c>
    </row>
    <row r="9" spans="1:15" x14ac:dyDescent="0.3">
      <c r="A9">
        <v>8</v>
      </c>
      <c r="B9" s="2">
        <v>2</v>
      </c>
      <c r="C9" s="2">
        <v>3</v>
      </c>
      <c r="D9">
        <v>2.5</v>
      </c>
      <c r="E9">
        <v>0.01</v>
      </c>
      <c r="F9">
        <v>7</v>
      </c>
      <c r="G9">
        <v>8</v>
      </c>
      <c r="H9">
        <v>3.0000000000000001E-3</v>
      </c>
      <c r="I9">
        <v>1</v>
      </c>
      <c r="L9">
        <v>7</v>
      </c>
      <c r="M9">
        <v>8</v>
      </c>
      <c r="N9">
        <v>3.0000000000000001E-3</v>
      </c>
      <c r="O9">
        <v>1</v>
      </c>
    </row>
    <row r="10" spans="1:15" x14ac:dyDescent="0.3">
      <c r="A10">
        <v>9</v>
      </c>
      <c r="B10" s="2">
        <v>3</v>
      </c>
      <c r="C10" s="2">
        <v>3</v>
      </c>
      <c r="D10">
        <v>2.9</v>
      </c>
      <c r="E10">
        <v>3.0000000000000001E-3</v>
      </c>
      <c r="F10">
        <v>8</v>
      </c>
      <c r="G10">
        <v>9</v>
      </c>
      <c r="H10">
        <v>2.3999999999999998E-3</v>
      </c>
      <c r="I10">
        <v>1</v>
      </c>
      <c r="L10">
        <v>8</v>
      </c>
      <c r="M10">
        <v>9</v>
      </c>
      <c r="N10">
        <v>2.3999999999999998E-3</v>
      </c>
      <c r="O10">
        <v>1</v>
      </c>
    </row>
    <row r="11" spans="1:15" x14ac:dyDescent="0.3">
      <c r="A11">
        <v>10</v>
      </c>
      <c r="B11" s="2">
        <v>4</v>
      </c>
      <c r="C11" s="2">
        <v>3</v>
      </c>
      <c r="D11">
        <v>2.85</v>
      </c>
      <c r="E11">
        <v>0.01</v>
      </c>
      <c r="F11">
        <v>9</v>
      </c>
      <c r="G11">
        <v>15</v>
      </c>
      <c r="H11">
        <v>2E-3</v>
      </c>
      <c r="I11">
        <v>1</v>
      </c>
      <c r="L11">
        <v>9</v>
      </c>
      <c r="M11">
        <v>15</v>
      </c>
      <c r="N11">
        <v>2E-3</v>
      </c>
      <c r="O11">
        <v>1</v>
      </c>
    </row>
    <row r="12" spans="1:15" x14ac:dyDescent="0.3">
      <c r="A12">
        <v>11</v>
      </c>
      <c r="B12" s="2">
        <v>5</v>
      </c>
      <c r="C12" s="2">
        <v>3</v>
      </c>
      <c r="D12">
        <v>2.8</v>
      </c>
      <c r="E12">
        <v>1.7000000000000001E-2</v>
      </c>
      <c r="F12">
        <v>10</v>
      </c>
      <c r="G12">
        <v>11</v>
      </c>
      <c r="H12">
        <v>3.0000000000000001E-3</v>
      </c>
      <c r="I12">
        <v>1</v>
      </c>
      <c r="L12">
        <v>10</v>
      </c>
      <c r="M12">
        <v>11</v>
      </c>
      <c r="N12">
        <v>3.0000000000000001E-3</v>
      </c>
      <c r="O12">
        <v>1</v>
      </c>
    </row>
    <row r="13" spans="1:15" x14ac:dyDescent="0.3">
      <c r="A13">
        <v>12</v>
      </c>
      <c r="B13" s="2">
        <v>6</v>
      </c>
      <c r="C13" s="2">
        <v>3</v>
      </c>
      <c r="D13">
        <v>2.8</v>
      </c>
      <c r="E13">
        <v>4.0000000000000001E-3</v>
      </c>
      <c r="F13">
        <v>10</v>
      </c>
      <c r="G13">
        <v>55</v>
      </c>
      <c r="H13">
        <v>3.0000000000000001E-3</v>
      </c>
      <c r="I13">
        <v>1</v>
      </c>
      <c r="L13">
        <v>10</v>
      </c>
      <c r="M13">
        <v>55</v>
      </c>
      <c r="N13">
        <v>3.0000000000000001E-3</v>
      </c>
      <c r="O13">
        <v>1</v>
      </c>
    </row>
    <row r="14" spans="1:15" x14ac:dyDescent="0.3">
      <c r="A14">
        <v>13</v>
      </c>
      <c r="B14" s="2">
        <v>1</v>
      </c>
      <c r="C14" s="2">
        <v>4</v>
      </c>
      <c r="D14">
        <v>2.2000000000000002</v>
      </c>
      <c r="E14">
        <v>7.0000000000000001E-3</v>
      </c>
      <c r="F14">
        <v>3</v>
      </c>
      <c r="G14">
        <v>2</v>
      </c>
      <c r="H14">
        <v>3.0000000000000001E-3</v>
      </c>
      <c r="I14">
        <v>1</v>
      </c>
      <c r="L14">
        <v>3</v>
      </c>
      <c r="M14">
        <v>2</v>
      </c>
      <c r="N14">
        <v>3.0000000000000001E-3</v>
      </c>
      <c r="O14">
        <v>1</v>
      </c>
    </row>
    <row r="15" spans="1:15" x14ac:dyDescent="0.3">
      <c r="A15">
        <v>14</v>
      </c>
      <c r="B15" s="2">
        <v>2</v>
      </c>
      <c r="C15" s="2">
        <v>4</v>
      </c>
      <c r="D15">
        <v>2.4</v>
      </c>
      <c r="E15">
        <v>8.0000000000000002E-3</v>
      </c>
      <c r="F15">
        <v>11</v>
      </c>
      <c r="G15">
        <v>17</v>
      </c>
      <c r="H15">
        <v>1.9E-3</v>
      </c>
      <c r="I15">
        <v>1</v>
      </c>
      <c r="L15">
        <v>11</v>
      </c>
      <c r="M15">
        <v>17</v>
      </c>
      <c r="N15">
        <v>1.9E-3</v>
      </c>
      <c r="O15">
        <v>1</v>
      </c>
    </row>
    <row r="16" spans="1:15" x14ac:dyDescent="0.3">
      <c r="A16">
        <v>15</v>
      </c>
      <c r="B16" s="2">
        <v>3</v>
      </c>
      <c r="C16" s="2">
        <v>4</v>
      </c>
      <c r="D16">
        <v>2.5</v>
      </c>
      <c r="E16">
        <v>2E-3</v>
      </c>
      <c r="F16">
        <v>12</v>
      </c>
      <c r="G16">
        <v>11</v>
      </c>
      <c r="H16">
        <v>3.0000000000000001E-3</v>
      </c>
      <c r="I16">
        <v>1</v>
      </c>
      <c r="L16">
        <v>12</v>
      </c>
      <c r="M16">
        <v>11</v>
      </c>
      <c r="N16">
        <v>3.0000000000000001E-3</v>
      </c>
      <c r="O16">
        <v>1</v>
      </c>
    </row>
    <row r="17" spans="1:15" x14ac:dyDescent="0.3">
      <c r="A17">
        <v>16</v>
      </c>
      <c r="B17" s="2">
        <v>4</v>
      </c>
      <c r="C17" s="2">
        <v>4</v>
      </c>
      <c r="D17">
        <v>2.6</v>
      </c>
      <c r="E17">
        <v>3.0000000000000001E-3</v>
      </c>
      <c r="F17">
        <v>13</v>
      </c>
      <c r="G17">
        <v>7</v>
      </c>
      <c r="H17">
        <v>3.0000000000000001E-3</v>
      </c>
      <c r="I17">
        <v>1</v>
      </c>
      <c r="L17">
        <v>13</v>
      </c>
      <c r="M17">
        <v>7</v>
      </c>
      <c r="N17">
        <v>3.0000000000000001E-3</v>
      </c>
      <c r="O17">
        <v>1</v>
      </c>
    </row>
    <row r="18" spans="1:15" x14ac:dyDescent="0.3">
      <c r="A18">
        <v>17</v>
      </c>
      <c r="B18" s="2">
        <v>5</v>
      </c>
      <c r="C18" s="2">
        <v>4</v>
      </c>
      <c r="D18">
        <v>2.6</v>
      </c>
      <c r="E18">
        <v>6.0000000000000001E-3</v>
      </c>
      <c r="F18">
        <v>13</v>
      </c>
      <c r="G18">
        <v>18</v>
      </c>
      <c r="H18">
        <v>3.0000000000000001E-3</v>
      </c>
      <c r="I18">
        <v>1</v>
      </c>
      <c r="L18">
        <v>13</v>
      </c>
      <c r="M18">
        <v>18</v>
      </c>
      <c r="N18">
        <v>3.0000000000000001E-3</v>
      </c>
      <c r="O18">
        <v>1</v>
      </c>
    </row>
    <row r="19" spans="1:15" x14ac:dyDescent="0.3">
      <c r="A19">
        <v>18</v>
      </c>
      <c r="B19" s="2">
        <v>1</v>
      </c>
      <c r="C19" s="2">
        <v>5</v>
      </c>
      <c r="D19">
        <v>2.2000000000000002</v>
      </c>
      <c r="E19">
        <v>8.0000000000000002E-3</v>
      </c>
      <c r="F19">
        <v>14</v>
      </c>
      <c r="G19">
        <v>8</v>
      </c>
      <c r="H19">
        <v>3.0000000000000001E-3</v>
      </c>
      <c r="I19">
        <v>1</v>
      </c>
      <c r="L19">
        <v>14</v>
      </c>
      <c r="M19">
        <v>8</v>
      </c>
      <c r="N19">
        <v>3.0000000000000001E-3</v>
      </c>
      <c r="O19">
        <v>1</v>
      </c>
    </row>
    <row r="20" spans="1:15" x14ac:dyDescent="0.3">
      <c r="A20">
        <v>19</v>
      </c>
      <c r="B20" s="2">
        <v>2</v>
      </c>
      <c r="C20" s="2">
        <v>5</v>
      </c>
      <c r="D20">
        <v>2.4</v>
      </c>
      <c r="E20">
        <v>6.0000000000000001E-3</v>
      </c>
      <c r="F20">
        <v>14</v>
      </c>
      <c r="G20">
        <v>19</v>
      </c>
      <c r="H20">
        <v>3.0000000000000001E-3</v>
      </c>
      <c r="I20">
        <v>1</v>
      </c>
      <c r="L20">
        <v>14</v>
      </c>
      <c r="M20">
        <v>19</v>
      </c>
      <c r="N20">
        <v>3.0000000000000001E-3</v>
      </c>
      <c r="O20">
        <v>1</v>
      </c>
    </row>
    <row r="21" spans="1:15" x14ac:dyDescent="0.3">
      <c r="A21">
        <v>20</v>
      </c>
      <c r="B21" s="2">
        <v>3</v>
      </c>
      <c r="C21" s="2">
        <v>5</v>
      </c>
      <c r="D21">
        <v>2.5</v>
      </c>
      <c r="E21">
        <v>1.0999999999999999E-2</v>
      </c>
      <c r="F21">
        <v>15</v>
      </c>
      <c r="G21">
        <v>20</v>
      </c>
      <c r="H21">
        <v>2E-3</v>
      </c>
      <c r="I21">
        <v>1</v>
      </c>
      <c r="L21">
        <v>15</v>
      </c>
      <c r="M21">
        <v>20</v>
      </c>
      <c r="N21">
        <v>2E-3</v>
      </c>
      <c r="O21">
        <v>1</v>
      </c>
    </row>
    <row r="22" spans="1:15" x14ac:dyDescent="0.3">
      <c r="A22">
        <v>21</v>
      </c>
      <c r="B22" s="2">
        <v>4</v>
      </c>
      <c r="C22" s="2">
        <v>5</v>
      </c>
      <c r="D22">
        <v>2.4500000000000002</v>
      </c>
      <c r="E22">
        <v>1.2999999999999999E-2</v>
      </c>
      <c r="F22">
        <v>16</v>
      </c>
      <c r="G22">
        <v>10</v>
      </c>
      <c r="H22">
        <v>3.0000000000000001E-3</v>
      </c>
      <c r="I22">
        <v>1</v>
      </c>
      <c r="L22">
        <v>16</v>
      </c>
      <c r="M22">
        <v>10</v>
      </c>
      <c r="N22">
        <v>3.0000000000000001E-3</v>
      </c>
      <c r="O22">
        <v>1</v>
      </c>
    </row>
    <row r="23" spans="1:15" x14ac:dyDescent="0.3">
      <c r="A23">
        <v>22</v>
      </c>
      <c r="B23" s="2">
        <v>5</v>
      </c>
      <c r="C23" s="2">
        <v>5</v>
      </c>
      <c r="D23">
        <v>2.4</v>
      </c>
      <c r="E23">
        <v>1.2E-2</v>
      </c>
      <c r="F23">
        <v>19</v>
      </c>
      <c r="G23">
        <v>20</v>
      </c>
      <c r="H23">
        <v>3.0000000000000001E-3</v>
      </c>
      <c r="I23">
        <v>1</v>
      </c>
      <c r="L23">
        <v>19</v>
      </c>
      <c r="M23">
        <v>20</v>
      </c>
      <c r="N23">
        <v>3.0000000000000001E-3</v>
      </c>
      <c r="O23">
        <v>1</v>
      </c>
    </row>
    <row r="24" spans="1:15" x14ac:dyDescent="0.3">
      <c r="A24">
        <v>23</v>
      </c>
      <c r="B24" s="2">
        <v>6</v>
      </c>
      <c r="C24" s="2">
        <v>5</v>
      </c>
      <c r="D24">
        <v>2.35</v>
      </c>
      <c r="E24">
        <v>1.0999999999999999E-2</v>
      </c>
      <c r="F24">
        <v>17</v>
      </c>
      <c r="G24">
        <v>22</v>
      </c>
      <c r="H24">
        <v>3.0000000000000001E-3</v>
      </c>
      <c r="I24">
        <v>1</v>
      </c>
      <c r="L24">
        <v>17</v>
      </c>
      <c r="M24">
        <v>22</v>
      </c>
      <c r="N24">
        <v>3.0000000000000001E-3</v>
      </c>
      <c r="O24">
        <v>1</v>
      </c>
    </row>
    <row r="25" spans="1:15" x14ac:dyDescent="0.3">
      <c r="A25">
        <v>24</v>
      </c>
      <c r="B25" s="2">
        <v>7</v>
      </c>
      <c r="C25" s="2">
        <v>5</v>
      </c>
      <c r="D25">
        <v>2.2999999999999998</v>
      </c>
      <c r="E25">
        <v>7.0000000000000001E-3</v>
      </c>
      <c r="F25">
        <v>18</v>
      </c>
      <c r="G25">
        <v>25</v>
      </c>
      <c r="H25">
        <v>3.0000000000000001E-3</v>
      </c>
      <c r="I25">
        <v>1</v>
      </c>
      <c r="L25">
        <v>18</v>
      </c>
      <c r="M25">
        <v>25</v>
      </c>
      <c r="N25">
        <v>3.0000000000000001E-3</v>
      </c>
      <c r="O25">
        <v>1</v>
      </c>
    </row>
    <row r="26" spans="1:15" x14ac:dyDescent="0.3">
      <c r="A26">
        <v>25</v>
      </c>
      <c r="B26" s="2">
        <v>1</v>
      </c>
      <c r="C26" s="2">
        <v>6</v>
      </c>
      <c r="D26">
        <v>2.1</v>
      </c>
      <c r="E26">
        <v>6.0000000000000001E-3</v>
      </c>
      <c r="F26">
        <v>10</v>
      </c>
      <c r="G26">
        <v>9</v>
      </c>
      <c r="H26">
        <v>3.0000000000000001E-3</v>
      </c>
      <c r="I26">
        <v>1</v>
      </c>
      <c r="L26">
        <v>10</v>
      </c>
      <c r="M26">
        <v>9</v>
      </c>
      <c r="N26">
        <v>3.0000000000000001E-3</v>
      </c>
      <c r="O26">
        <v>1</v>
      </c>
    </row>
    <row r="27" spans="1:15" x14ac:dyDescent="0.3">
      <c r="A27">
        <v>26</v>
      </c>
      <c r="B27" s="2">
        <v>2</v>
      </c>
      <c r="C27" s="2">
        <v>6</v>
      </c>
      <c r="D27">
        <v>2.4</v>
      </c>
      <c r="E27">
        <v>2E-3</v>
      </c>
      <c r="F27">
        <v>26</v>
      </c>
      <c r="G27">
        <v>19</v>
      </c>
      <c r="H27">
        <v>3.0000000000000001E-3</v>
      </c>
      <c r="I27">
        <v>1</v>
      </c>
      <c r="L27">
        <v>26</v>
      </c>
      <c r="M27">
        <v>19</v>
      </c>
      <c r="N27">
        <v>3.0000000000000001E-3</v>
      </c>
      <c r="O27">
        <v>1</v>
      </c>
    </row>
    <row r="28" spans="1:15" x14ac:dyDescent="0.3">
      <c r="A28">
        <v>27</v>
      </c>
      <c r="B28" s="2">
        <v>3</v>
      </c>
      <c r="C28" s="2">
        <v>6</v>
      </c>
      <c r="D28">
        <v>2.4</v>
      </c>
      <c r="E28">
        <v>8.9999999999999993E-3</v>
      </c>
      <c r="F28">
        <v>20</v>
      </c>
      <c r="G28">
        <v>27</v>
      </c>
      <c r="H28">
        <v>1.5E-3</v>
      </c>
      <c r="I28">
        <v>1</v>
      </c>
      <c r="L28">
        <v>20</v>
      </c>
      <c r="M28">
        <v>27</v>
      </c>
      <c r="N28">
        <v>1.5E-3</v>
      </c>
      <c r="O28">
        <v>1</v>
      </c>
    </row>
    <row r="29" spans="1:15" x14ac:dyDescent="0.3">
      <c r="A29">
        <v>28</v>
      </c>
      <c r="B29" s="2">
        <v>4</v>
      </c>
      <c r="C29" s="2">
        <v>6</v>
      </c>
      <c r="D29">
        <v>2.25</v>
      </c>
      <c r="E29">
        <v>4.0000000000000001E-3</v>
      </c>
      <c r="F29">
        <v>21</v>
      </c>
      <c r="G29">
        <v>20</v>
      </c>
      <c r="H29">
        <v>3.0000000000000001E-3</v>
      </c>
      <c r="I29">
        <v>1</v>
      </c>
      <c r="L29">
        <v>21</v>
      </c>
      <c r="M29">
        <v>20</v>
      </c>
      <c r="N29">
        <v>3.0000000000000001E-3</v>
      </c>
      <c r="O29">
        <v>1</v>
      </c>
    </row>
    <row r="30" spans="1:15" x14ac:dyDescent="0.3">
      <c r="A30">
        <v>29</v>
      </c>
      <c r="B30" s="2">
        <v>5</v>
      </c>
      <c r="C30" s="2">
        <v>6</v>
      </c>
      <c r="D30">
        <v>2.2000000000000002</v>
      </c>
      <c r="E30">
        <v>6.0000000000000001E-3</v>
      </c>
      <c r="F30">
        <v>21</v>
      </c>
      <c r="G30">
        <v>28</v>
      </c>
      <c r="H30">
        <v>3.0000000000000001E-3</v>
      </c>
      <c r="I30">
        <v>1</v>
      </c>
      <c r="L30">
        <v>21</v>
      </c>
      <c r="M30">
        <v>28</v>
      </c>
      <c r="N30">
        <v>3.0000000000000001E-3</v>
      </c>
      <c r="O30">
        <v>1</v>
      </c>
    </row>
    <row r="31" spans="1:15" x14ac:dyDescent="0.3">
      <c r="A31">
        <v>30</v>
      </c>
      <c r="B31" s="2">
        <v>1</v>
      </c>
      <c r="C31" s="2">
        <v>7</v>
      </c>
      <c r="D31">
        <v>2.1</v>
      </c>
      <c r="E31">
        <v>4.0000000000000001E-3</v>
      </c>
      <c r="F31">
        <v>22</v>
      </c>
      <c r="G31">
        <v>23</v>
      </c>
      <c r="H31">
        <v>1.5E-3</v>
      </c>
      <c r="I31">
        <v>1</v>
      </c>
      <c r="L31">
        <v>22</v>
      </c>
      <c r="M31">
        <v>23</v>
      </c>
      <c r="N31">
        <v>1.5E-3</v>
      </c>
      <c r="O31">
        <v>1</v>
      </c>
    </row>
    <row r="32" spans="1:15" x14ac:dyDescent="0.3">
      <c r="A32">
        <v>31</v>
      </c>
      <c r="B32" s="2">
        <v>2</v>
      </c>
      <c r="C32" s="2">
        <v>7</v>
      </c>
      <c r="D32">
        <v>2</v>
      </c>
      <c r="E32">
        <v>4.0000000000000001E-3</v>
      </c>
      <c r="F32">
        <v>16</v>
      </c>
      <c r="G32">
        <v>21</v>
      </c>
      <c r="H32">
        <v>3.0000000000000001E-3</v>
      </c>
      <c r="I32">
        <v>1</v>
      </c>
      <c r="L32">
        <v>16</v>
      </c>
      <c r="M32">
        <v>21</v>
      </c>
      <c r="N32">
        <v>3.0000000000000001E-3</v>
      </c>
      <c r="O32">
        <v>1</v>
      </c>
    </row>
    <row r="33" spans="1:15" x14ac:dyDescent="0.3">
      <c r="A33">
        <v>32</v>
      </c>
      <c r="B33" s="2">
        <v>3</v>
      </c>
      <c r="C33" s="2">
        <v>7</v>
      </c>
      <c r="D33">
        <v>2</v>
      </c>
      <c r="E33">
        <v>8.0000000000000002E-3</v>
      </c>
      <c r="F33">
        <v>23</v>
      </c>
      <c r="G33">
        <v>35</v>
      </c>
      <c r="H33">
        <v>1.4E-3</v>
      </c>
      <c r="I33">
        <v>1</v>
      </c>
      <c r="L33">
        <v>23</v>
      </c>
      <c r="M33">
        <v>35</v>
      </c>
      <c r="N33">
        <v>1.4E-3</v>
      </c>
      <c r="O33">
        <v>1</v>
      </c>
    </row>
    <row r="34" spans="1:15" x14ac:dyDescent="0.3">
      <c r="A34">
        <v>33</v>
      </c>
      <c r="B34" s="2">
        <v>4</v>
      </c>
      <c r="C34" s="2">
        <v>7</v>
      </c>
      <c r="D34">
        <v>1.95</v>
      </c>
      <c r="E34">
        <v>6.0000000000000001E-3</v>
      </c>
      <c r="F34">
        <v>22</v>
      </c>
      <c r="G34">
        <v>21</v>
      </c>
      <c r="H34">
        <v>3.0000000000000001E-3</v>
      </c>
      <c r="I34">
        <v>1</v>
      </c>
      <c r="L34">
        <v>22</v>
      </c>
      <c r="M34">
        <v>21</v>
      </c>
      <c r="N34">
        <v>3.0000000000000001E-3</v>
      </c>
      <c r="O34">
        <v>1</v>
      </c>
    </row>
    <row r="35" spans="1:15" x14ac:dyDescent="0.3">
      <c r="A35">
        <v>34</v>
      </c>
      <c r="B35" s="2">
        <v>5</v>
      </c>
      <c r="C35" s="2">
        <v>7</v>
      </c>
      <c r="D35">
        <v>2</v>
      </c>
      <c r="E35">
        <v>0.01</v>
      </c>
      <c r="F35">
        <v>33</v>
      </c>
      <c r="G35">
        <v>32</v>
      </c>
      <c r="H35">
        <v>3.0000000000000001E-3</v>
      </c>
      <c r="I35">
        <v>1</v>
      </c>
      <c r="L35">
        <v>33</v>
      </c>
      <c r="M35">
        <v>32</v>
      </c>
      <c r="N35">
        <v>3.0000000000000001E-3</v>
      </c>
      <c r="O35">
        <v>1</v>
      </c>
    </row>
    <row r="36" spans="1:15" x14ac:dyDescent="0.3">
      <c r="A36">
        <v>35</v>
      </c>
      <c r="B36" s="2">
        <v>6</v>
      </c>
      <c r="C36" s="2">
        <v>7</v>
      </c>
      <c r="D36">
        <v>1.95</v>
      </c>
      <c r="E36">
        <v>0.01</v>
      </c>
      <c r="F36">
        <v>25</v>
      </c>
      <c r="G36">
        <v>30</v>
      </c>
      <c r="H36">
        <v>3.8999999999999998E-3</v>
      </c>
      <c r="I36">
        <v>1</v>
      </c>
      <c r="L36">
        <v>25</v>
      </c>
      <c r="M36">
        <v>30</v>
      </c>
      <c r="N36">
        <v>3.8999999999999998E-3</v>
      </c>
      <c r="O36">
        <v>1</v>
      </c>
    </row>
    <row r="37" spans="1:15" x14ac:dyDescent="0.3">
      <c r="A37">
        <v>36</v>
      </c>
      <c r="B37" s="2">
        <v>7</v>
      </c>
      <c r="C37" s="2">
        <v>7</v>
      </c>
      <c r="D37">
        <v>1.9</v>
      </c>
      <c r="E37">
        <v>1.0999999999999999E-2</v>
      </c>
      <c r="F37">
        <v>49</v>
      </c>
      <c r="G37">
        <v>50</v>
      </c>
      <c r="H37">
        <v>3.0000000000000001E-3</v>
      </c>
      <c r="I37">
        <v>1</v>
      </c>
      <c r="L37">
        <v>49</v>
      </c>
      <c r="M37">
        <v>50</v>
      </c>
      <c r="N37">
        <v>3.0000000000000001E-3</v>
      </c>
      <c r="O37">
        <v>1</v>
      </c>
    </row>
    <row r="38" spans="1:15" x14ac:dyDescent="0.3">
      <c r="A38">
        <v>37</v>
      </c>
      <c r="B38" s="2">
        <v>5</v>
      </c>
      <c r="C38" s="2">
        <v>8</v>
      </c>
      <c r="D38">
        <v>2.0499999999999998</v>
      </c>
      <c r="E38">
        <v>3.0000000000000001E-3</v>
      </c>
      <c r="F38">
        <v>27</v>
      </c>
      <c r="G38">
        <v>32</v>
      </c>
      <c r="H38">
        <v>1.4E-3</v>
      </c>
      <c r="I38">
        <v>1</v>
      </c>
      <c r="L38">
        <v>27</v>
      </c>
      <c r="M38">
        <v>32</v>
      </c>
      <c r="N38">
        <v>1.4E-3</v>
      </c>
      <c r="O38">
        <v>1</v>
      </c>
    </row>
    <row r="39" spans="1:15" x14ac:dyDescent="0.3">
      <c r="A39">
        <v>38</v>
      </c>
      <c r="B39" s="2">
        <v>1</v>
      </c>
      <c r="C39" s="2">
        <v>9</v>
      </c>
      <c r="D39">
        <v>2.2000000000000002</v>
      </c>
      <c r="E39">
        <v>3.0000000000000001E-3</v>
      </c>
      <c r="F39">
        <v>28</v>
      </c>
      <c r="G39">
        <v>33</v>
      </c>
      <c r="H39">
        <v>3.8999999999999998E-3</v>
      </c>
      <c r="I39">
        <v>1</v>
      </c>
      <c r="L39">
        <v>28</v>
      </c>
      <c r="M39">
        <v>33</v>
      </c>
      <c r="N39">
        <v>3.8999999999999998E-3</v>
      </c>
      <c r="O39">
        <v>1</v>
      </c>
    </row>
    <row r="40" spans="1:15" x14ac:dyDescent="0.3">
      <c r="A40">
        <v>39</v>
      </c>
      <c r="B40" s="2">
        <v>2</v>
      </c>
      <c r="C40" s="2">
        <v>9</v>
      </c>
      <c r="D40">
        <v>2.1</v>
      </c>
      <c r="E40">
        <v>2E-3</v>
      </c>
      <c r="F40">
        <v>29</v>
      </c>
      <c r="G40">
        <v>34</v>
      </c>
      <c r="H40">
        <v>3.0000000000000001E-3</v>
      </c>
      <c r="I40">
        <v>1</v>
      </c>
      <c r="L40">
        <v>29</v>
      </c>
      <c r="M40">
        <v>34</v>
      </c>
      <c r="N40">
        <v>3.0000000000000001E-3</v>
      </c>
      <c r="O40">
        <v>1</v>
      </c>
    </row>
    <row r="41" spans="1:15" x14ac:dyDescent="0.3">
      <c r="A41">
        <v>40</v>
      </c>
      <c r="B41" s="2">
        <v>3</v>
      </c>
      <c r="C41" s="2">
        <v>9</v>
      </c>
      <c r="D41">
        <v>2</v>
      </c>
      <c r="E41">
        <v>6.0000000000000001E-3</v>
      </c>
      <c r="F41">
        <v>29</v>
      </c>
      <c r="G41">
        <v>22</v>
      </c>
      <c r="H41">
        <v>3.0000000000000001E-3</v>
      </c>
      <c r="I41">
        <v>1</v>
      </c>
      <c r="L41">
        <v>29</v>
      </c>
      <c r="M41">
        <v>22</v>
      </c>
      <c r="N41">
        <v>3.0000000000000001E-3</v>
      </c>
      <c r="O41">
        <v>1</v>
      </c>
    </row>
    <row r="42" spans="1:15" x14ac:dyDescent="0.3">
      <c r="A42">
        <v>41</v>
      </c>
      <c r="B42" s="2">
        <v>4</v>
      </c>
      <c r="C42" s="2">
        <v>9</v>
      </c>
      <c r="D42">
        <v>2.1</v>
      </c>
      <c r="E42">
        <v>6.0000000000000001E-3</v>
      </c>
      <c r="F42">
        <v>30</v>
      </c>
      <c r="G42">
        <v>31</v>
      </c>
      <c r="H42">
        <v>3.3999999999999998E-3</v>
      </c>
      <c r="I42">
        <v>1</v>
      </c>
      <c r="L42">
        <v>30</v>
      </c>
      <c r="M42">
        <v>31</v>
      </c>
      <c r="N42">
        <v>3.3999999999999998E-3</v>
      </c>
      <c r="O42">
        <v>1</v>
      </c>
    </row>
    <row r="43" spans="1:15" x14ac:dyDescent="0.3">
      <c r="A43">
        <v>42</v>
      </c>
      <c r="B43" s="2">
        <v>5</v>
      </c>
      <c r="C43" s="2">
        <v>9</v>
      </c>
      <c r="D43">
        <v>2.1</v>
      </c>
      <c r="E43">
        <v>0.01</v>
      </c>
      <c r="F43">
        <v>31</v>
      </c>
      <c r="G43">
        <v>32</v>
      </c>
      <c r="H43">
        <v>3.2000000000000002E-3</v>
      </c>
      <c r="I43">
        <v>1</v>
      </c>
      <c r="L43">
        <v>31</v>
      </c>
      <c r="M43">
        <v>32</v>
      </c>
      <c r="N43">
        <v>3.2000000000000002E-3</v>
      </c>
      <c r="O43">
        <v>1</v>
      </c>
    </row>
    <row r="44" spans="1:15" x14ac:dyDescent="0.3">
      <c r="A44">
        <v>43</v>
      </c>
      <c r="B44" s="2">
        <v>6</v>
      </c>
      <c r="C44" s="2">
        <v>9</v>
      </c>
      <c r="D44">
        <v>2</v>
      </c>
      <c r="E44">
        <v>3.0000000000000001E-3</v>
      </c>
      <c r="F44">
        <v>31</v>
      </c>
      <c r="G44">
        <v>39</v>
      </c>
      <c r="H44">
        <v>3.0000000000000001E-3</v>
      </c>
      <c r="I44">
        <v>1</v>
      </c>
      <c r="L44">
        <v>31</v>
      </c>
      <c r="M44">
        <v>39</v>
      </c>
      <c r="N44">
        <v>3.0000000000000001E-3</v>
      </c>
      <c r="O44">
        <v>1</v>
      </c>
    </row>
    <row r="45" spans="1:15" x14ac:dyDescent="0.3">
      <c r="A45">
        <v>44</v>
      </c>
      <c r="B45" s="2">
        <v>7</v>
      </c>
      <c r="C45" s="2">
        <v>9</v>
      </c>
      <c r="D45">
        <v>2</v>
      </c>
      <c r="E45">
        <v>5.0000000000000001E-3</v>
      </c>
      <c r="F45">
        <v>31</v>
      </c>
      <c r="G45">
        <v>26</v>
      </c>
      <c r="H45">
        <v>3.0000000000000001E-3</v>
      </c>
      <c r="I45">
        <v>1</v>
      </c>
      <c r="L45">
        <v>31</v>
      </c>
      <c r="M45">
        <v>26</v>
      </c>
      <c r="N45">
        <v>3.0000000000000001E-3</v>
      </c>
      <c r="O45">
        <v>1</v>
      </c>
    </row>
    <row r="46" spans="1:15" x14ac:dyDescent="0.3">
      <c r="A46">
        <v>45</v>
      </c>
      <c r="B46" s="2">
        <v>2</v>
      </c>
      <c r="C46" s="2">
        <v>10</v>
      </c>
      <c r="D46">
        <v>2.2000000000000002</v>
      </c>
      <c r="E46">
        <v>5.0000000000000001E-3</v>
      </c>
      <c r="F46">
        <v>32</v>
      </c>
      <c r="G46">
        <v>40</v>
      </c>
      <c r="H46">
        <v>1.5E-3</v>
      </c>
      <c r="I46">
        <v>1</v>
      </c>
      <c r="L46">
        <v>32</v>
      </c>
      <c r="M46">
        <v>40</v>
      </c>
      <c r="N46">
        <v>1.5E-3</v>
      </c>
      <c r="O46">
        <v>1</v>
      </c>
    </row>
    <row r="47" spans="1:15" x14ac:dyDescent="0.3">
      <c r="A47">
        <v>46</v>
      </c>
      <c r="B47" s="2">
        <v>3</v>
      </c>
      <c r="C47" s="2">
        <v>10</v>
      </c>
      <c r="D47">
        <v>2.1</v>
      </c>
      <c r="E47">
        <v>3.0000000000000001E-3</v>
      </c>
      <c r="F47">
        <v>37</v>
      </c>
      <c r="G47">
        <v>34</v>
      </c>
      <c r="H47">
        <v>3.3E-3</v>
      </c>
      <c r="I47">
        <v>1</v>
      </c>
      <c r="L47">
        <v>37</v>
      </c>
      <c r="M47">
        <v>34</v>
      </c>
      <c r="N47">
        <v>3.3E-3</v>
      </c>
      <c r="O47">
        <v>1</v>
      </c>
    </row>
    <row r="48" spans="1:15" x14ac:dyDescent="0.3">
      <c r="A48">
        <v>47</v>
      </c>
      <c r="B48" s="2">
        <v>4</v>
      </c>
      <c r="C48" s="2">
        <v>10</v>
      </c>
      <c r="D48">
        <v>2.2000000000000002</v>
      </c>
      <c r="E48">
        <v>7.0000000000000001E-3</v>
      </c>
      <c r="F48">
        <v>33</v>
      </c>
      <c r="G48">
        <v>34</v>
      </c>
      <c r="H48">
        <v>3.0000000000000001E-3</v>
      </c>
      <c r="I48">
        <v>1</v>
      </c>
      <c r="L48">
        <v>33</v>
      </c>
      <c r="M48">
        <v>34</v>
      </c>
      <c r="N48">
        <v>3.0000000000000001E-3</v>
      </c>
      <c r="O48">
        <v>1</v>
      </c>
    </row>
    <row r="49" spans="1:15" x14ac:dyDescent="0.3">
      <c r="A49">
        <v>48</v>
      </c>
      <c r="B49" s="2">
        <v>5</v>
      </c>
      <c r="C49" s="2">
        <v>10</v>
      </c>
      <c r="D49">
        <v>2.1</v>
      </c>
      <c r="E49">
        <v>8.0000000000000002E-3</v>
      </c>
      <c r="F49">
        <v>48</v>
      </c>
      <c r="G49">
        <v>42</v>
      </c>
      <c r="H49">
        <v>3.0000000000000001E-3</v>
      </c>
      <c r="I49">
        <v>1</v>
      </c>
      <c r="L49">
        <v>48</v>
      </c>
      <c r="M49">
        <v>42</v>
      </c>
      <c r="N49">
        <v>3.0000000000000001E-3</v>
      </c>
      <c r="O49">
        <v>1</v>
      </c>
    </row>
    <row r="50" spans="1:15" x14ac:dyDescent="0.3">
      <c r="A50">
        <v>49</v>
      </c>
      <c r="B50" s="2">
        <v>6</v>
      </c>
      <c r="C50" s="2">
        <v>10</v>
      </c>
      <c r="D50">
        <v>2.1</v>
      </c>
      <c r="E50">
        <v>0</v>
      </c>
      <c r="F50">
        <v>34</v>
      </c>
      <c r="G50">
        <v>35</v>
      </c>
      <c r="H50">
        <v>3.0000000000000001E-3</v>
      </c>
      <c r="I50">
        <v>1</v>
      </c>
      <c r="L50">
        <v>34</v>
      </c>
      <c r="M50">
        <v>35</v>
      </c>
      <c r="N50">
        <v>3.0000000000000001E-3</v>
      </c>
      <c r="O50">
        <v>1</v>
      </c>
    </row>
    <row r="51" spans="1:15" x14ac:dyDescent="0.3">
      <c r="A51">
        <v>50</v>
      </c>
      <c r="B51" s="2">
        <v>7</v>
      </c>
      <c r="C51" s="2">
        <v>10</v>
      </c>
      <c r="D51">
        <v>2.1</v>
      </c>
      <c r="E51">
        <v>0</v>
      </c>
      <c r="F51">
        <v>35</v>
      </c>
      <c r="G51">
        <v>43</v>
      </c>
      <c r="H51">
        <v>1.4E-3</v>
      </c>
      <c r="I51">
        <v>1</v>
      </c>
      <c r="L51">
        <v>35</v>
      </c>
      <c r="M51">
        <v>43</v>
      </c>
      <c r="N51">
        <v>1.4E-3</v>
      </c>
      <c r="O51">
        <v>1</v>
      </c>
    </row>
    <row r="52" spans="1:15" x14ac:dyDescent="0.3">
      <c r="A52">
        <v>51</v>
      </c>
      <c r="B52" s="2">
        <v>3</v>
      </c>
      <c r="C52" s="2">
        <v>11</v>
      </c>
      <c r="D52">
        <v>2.2000000000000002</v>
      </c>
      <c r="E52">
        <v>3.0000000000000001E-3</v>
      </c>
      <c r="F52">
        <v>36</v>
      </c>
      <c r="G52">
        <v>35</v>
      </c>
      <c r="H52">
        <v>2.8999999999999998E-3</v>
      </c>
      <c r="I52">
        <v>1</v>
      </c>
      <c r="L52">
        <v>36</v>
      </c>
      <c r="M52">
        <v>35</v>
      </c>
      <c r="N52">
        <v>2.8999999999999998E-3</v>
      </c>
      <c r="O52">
        <v>1</v>
      </c>
    </row>
    <row r="53" spans="1:15" x14ac:dyDescent="0.3">
      <c r="A53">
        <v>52</v>
      </c>
      <c r="B53" s="2">
        <v>4</v>
      </c>
      <c r="C53" s="2">
        <v>11</v>
      </c>
      <c r="D53">
        <v>2.2000000000000002</v>
      </c>
      <c r="E53">
        <v>0</v>
      </c>
      <c r="F53">
        <v>44</v>
      </c>
      <c r="G53">
        <v>36</v>
      </c>
      <c r="H53">
        <v>3.0000000000000001E-3</v>
      </c>
      <c r="I53">
        <v>1</v>
      </c>
      <c r="L53">
        <v>44</v>
      </c>
      <c r="M53">
        <v>36</v>
      </c>
      <c r="N53">
        <v>3.0000000000000001E-3</v>
      </c>
      <c r="O53">
        <v>1</v>
      </c>
    </row>
    <row r="54" spans="1:15" x14ac:dyDescent="0.3">
      <c r="A54">
        <v>53</v>
      </c>
      <c r="B54" s="2">
        <v>5</v>
      </c>
      <c r="C54" s="2">
        <v>11</v>
      </c>
      <c r="D54">
        <v>2.2000000000000002</v>
      </c>
      <c r="E54">
        <v>0</v>
      </c>
      <c r="F54">
        <v>38</v>
      </c>
      <c r="G54">
        <v>45</v>
      </c>
      <c r="H54">
        <v>3.0000000000000001E-3</v>
      </c>
      <c r="I54">
        <v>1</v>
      </c>
      <c r="L54">
        <v>38</v>
      </c>
      <c r="M54">
        <v>45</v>
      </c>
      <c r="N54">
        <v>3.0000000000000001E-3</v>
      </c>
      <c r="O54">
        <v>1</v>
      </c>
    </row>
    <row r="55" spans="1:15" x14ac:dyDescent="0.3">
      <c r="A55">
        <v>54</v>
      </c>
      <c r="B55" s="2">
        <v>6</v>
      </c>
      <c r="C55" s="2">
        <v>11</v>
      </c>
      <c r="D55">
        <v>2.25</v>
      </c>
      <c r="E55">
        <v>0</v>
      </c>
      <c r="F55">
        <v>39</v>
      </c>
      <c r="G55">
        <v>40</v>
      </c>
      <c r="H55">
        <v>3.0000000000000001E-3</v>
      </c>
      <c r="I55">
        <v>1</v>
      </c>
      <c r="L55">
        <v>39</v>
      </c>
      <c r="M55">
        <v>40</v>
      </c>
      <c r="N55">
        <v>3.0000000000000001E-3</v>
      </c>
      <c r="O55">
        <v>1</v>
      </c>
    </row>
    <row r="56" spans="1:15" x14ac:dyDescent="0.3">
      <c r="A56">
        <v>55</v>
      </c>
      <c r="B56" s="2">
        <v>7</v>
      </c>
      <c r="C56" s="2">
        <v>11</v>
      </c>
      <c r="D56">
        <v>2.7</v>
      </c>
      <c r="E56">
        <v>0</v>
      </c>
      <c r="F56">
        <v>39</v>
      </c>
      <c r="G56">
        <v>38</v>
      </c>
      <c r="H56">
        <v>3.0000000000000001E-3</v>
      </c>
      <c r="I56">
        <v>1</v>
      </c>
      <c r="L56">
        <v>39</v>
      </c>
      <c r="M56">
        <v>38</v>
      </c>
      <c r="N56">
        <v>3.0000000000000001E-3</v>
      </c>
      <c r="O56">
        <v>1</v>
      </c>
    </row>
    <row r="57" spans="1:15" x14ac:dyDescent="0.3">
      <c r="A57">
        <v>56</v>
      </c>
      <c r="B57" s="2">
        <v>7</v>
      </c>
      <c r="C57" s="2">
        <v>12</v>
      </c>
      <c r="D57">
        <v>2.2000000000000002</v>
      </c>
      <c r="E57">
        <v>1.2999999999999999E-2</v>
      </c>
      <c r="F57">
        <v>40</v>
      </c>
      <c r="G57">
        <v>41</v>
      </c>
      <c r="H57">
        <v>1.4E-3</v>
      </c>
      <c r="I57">
        <v>1</v>
      </c>
      <c r="L57">
        <v>40</v>
      </c>
      <c r="M57">
        <v>41</v>
      </c>
      <c r="N57">
        <v>1.4E-3</v>
      </c>
      <c r="O57">
        <v>1</v>
      </c>
    </row>
    <row r="58" spans="1:15" x14ac:dyDescent="0.3">
      <c r="A58">
        <v>57</v>
      </c>
      <c r="B58" s="2">
        <v>7</v>
      </c>
      <c r="C58" s="2">
        <v>13</v>
      </c>
      <c r="D58">
        <v>2.2000000000000002</v>
      </c>
      <c r="E58">
        <v>-0.34</v>
      </c>
      <c r="F58">
        <v>41</v>
      </c>
      <c r="G58">
        <v>42</v>
      </c>
      <c r="H58">
        <v>1.2999999999999999E-3</v>
      </c>
      <c r="I58">
        <v>1</v>
      </c>
      <c r="L58">
        <v>41</v>
      </c>
      <c r="M58">
        <v>42</v>
      </c>
      <c r="N58">
        <v>1.2999999999999999E-3</v>
      </c>
      <c r="O58">
        <v>1</v>
      </c>
    </row>
    <row r="59" spans="1:15" x14ac:dyDescent="0.3">
      <c r="F59">
        <v>43</v>
      </c>
      <c r="G59">
        <v>44</v>
      </c>
      <c r="H59">
        <v>3.0000000000000001E-3</v>
      </c>
      <c r="I59">
        <v>1</v>
      </c>
      <c r="L59">
        <v>43</v>
      </c>
      <c r="M59">
        <v>44</v>
      </c>
      <c r="N59">
        <v>3.0000000000000001E-3</v>
      </c>
      <c r="O59">
        <v>1</v>
      </c>
    </row>
    <row r="60" spans="1:15" x14ac:dyDescent="0.3">
      <c r="F60">
        <v>42</v>
      </c>
      <c r="G60">
        <v>43</v>
      </c>
      <c r="H60">
        <v>1.1999999999999999E-3</v>
      </c>
      <c r="I60">
        <v>1</v>
      </c>
      <c r="L60">
        <v>42</v>
      </c>
      <c r="M60">
        <v>43</v>
      </c>
      <c r="N60">
        <v>1.1999999999999999E-3</v>
      </c>
      <c r="O60">
        <v>1</v>
      </c>
    </row>
    <row r="61" spans="1:15" x14ac:dyDescent="0.3">
      <c r="F61">
        <v>43</v>
      </c>
      <c r="G61">
        <v>49</v>
      </c>
      <c r="H61">
        <v>1.5E-3</v>
      </c>
      <c r="I61">
        <v>1</v>
      </c>
      <c r="L61">
        <v>43</v>
      </c>
      <c r="M61">
        <v>49</v>
      </c>
      <c r="N61">
        <v>1.5E-3</v>
      </c>
      <c r="O61">
        <v>1</v>
      </c>
    </row>
    <row r="62" spans="1:15" x14ac:dyDescent="0.3">
      <c r="F62">
        <v>23</v>
      </c>
      <c r="G62">
        <v>24</v>
      </c>
      <c r="H62">
        <v>3.0000000000000001E-3</v>
      </c>
      <c r="I62">
        <v>1</v>
      </c>
      <c r="L62">
        <v>23</v>
      </c>
      <c r="M62">
        <v>24</v>
      </c>
      <c r="N62">
        <v>3.0000000000000001E-3</v>
      </c>
      <c r="O62">
        <v>1</v>
      </c>
    </row>
    <row r="63" spans="1:15" x14ac:dyDescent="0.3">
      <c r="F63">
        <v>24</v>
      </c>
      <c r="G63">
        <v>36</v>
      </c>
      <c r="H63">
        <v>3.0000000000000001E-3</v>
      </c>
      <c r="I63">
        <v>1</v>
      </c>
      <c r="L63">
        <v>24</v>
      </c>
      <c r="M63">
        <v>36</v>
      </c>
      <c r="N63">
        <v>3.0000000000000001E-3</v>
      </c>
      <c r="O63">
        <v>1</v>
      </c>
    </row>
    <row r="64" spans="1:15" x14ac:dyDescent="0.3">
      <c r="F64">
        <v>45</v>
      </c>
      <c r="G64">
        <v>51</v>
      </c>
      <c r="H64">
        <v>3.0000000000000001E-3</v>
      </c>
      <c r="I64">
        <v>1</v>
      </c>
      <c r="L64">
        <v>45</v>
      </c>
      <c r="M64">
        <v>51</v>
      </c>
      <c r="N64">
        <v>3.0000000000000001E-3</v>
      </c>
      <c r="O64">
        <v>1</v>
      </c>
    </row>
    <row r="65" spans="6:15" x14ac:dyDescent="0.3">
      <c r="F65">
        <v>48</v>
      </c>
      <c r="G65">
        <v>47</v>
      </c>
      <c r="H65">
        <v>3.0000000000000001E-3</v>
      </c>
      <c r="I65">
        <v>1</v>
      </c>
      <c r="L65">
        <v>48</v>
      </c>
      <c r="M65">
        <v>47</v>
      </c>
      <c r="N65">
        <v>3.0000000000000001E-3</v>
      </c>
      <c r="O65">
        <v>1</v>
      </c>
    </row>
    <row r="66" spans="6:15" x14ac:dyDescent="0.3">
      <c r="F66">
        <v>47</v>
      </c>
      <c r="G66">
        <v>52</v>
      </c>
      <c r="H66">
        <v>4.0000000000000001E-3</v>
      </c>
      <c r="I66">
        <v>1</v>
      </c>
      <c r="L66">
        <v>47</v>
      </c>
      <c r="M66">
        <v>52</v>
      </c>
      <c r="N66">
        <v>4.0000000000000001E-3</v>
      </c>
      <c r="O66">
        <v>1</v>
      </c>
    </row>
    <row r="67" spans="6:15" x14ac:dyDescent="0.3">
      <c r="F67">
        <v>46</v>
      </c>
      <c r="G67">
        <v>47</v>
      </c>
      <c r="H67">
        <v>3.0000000000000001E-3</v>
      </c>
      <c r="I67">
        <v>1</v>
      </c>
      <c r="L67">
        <v>46</v>
      </c>
      <c r="M67">
        <v>47</v>
      </c>
      <c r="N67">
        <v>3.0000000000000001E-3</v>
      </c>
      <c r="O67">
        <v>1</v>
      </c>
    </row>
    <row r="68" spans="6:15" x14ac:dyDescent="0.3">
      <c r="F68">
        <v>41</v>
      </c>
      <c r="G68">
        <v>47</v>
      </c>
      <c r="H68">
        <v>3.0000000000000001E-3</v>
      </c>
      <c r="I68">
        <v>1</v>
      </c>
      <c r="L68">
        <v>41</v>
      </c>
      <c r="M68">
        <v>47</v>
      </c>
      <c r="N68">
        <v>3.0000000000000001E-3</v>
      </c>
      <c r="O68">
        <v>1</v>
      </c>
    </row>
    <row r="69" spans="6:15" x14ac:dyDescent="0.3">
      <c r="F69" s="6">
        <v>49</v>
      </c>
      <c r="G69" s="6">
        <v>54</v>
      </c>
      <c r="H69">
        <v>1.5E-3</v>
      </c>
      <c r="I69">
        <v>1</v>
      </c>
      <c r="L69" s="6">
        <v>49</v>
      </c>
      <c r="M69" s="6">
        <v>54</v>
      </c>
      <c r="N69">
        <f>Result_Hydraulic_Iter1!F16</f>
        <v>842975.11039995053</v>
      </c>
      <c r="O69">
        <v>0</v>
      </c>
    </row>
    <row r="70" spans="6:15" x14ac:dyDescent="0.3">
      <c r="F70">
        <v>46</v>
      </c>
      <c r="G70">
        <v>39</v>
      </c>
      <c r="H70">
        <v>3.0000000000000001E-3</v>
      </c>
      <c r="I70">
        <v>1</v>
      </c>
      <c r="L70">
        <v>46</v>
      </c>
      <c r="M70">
        <v>39</v>
      </c>
      <c r="N70">
        <v>3.0000000000000001E-3</v>
      </c>
      <c r="O70">
        <v>1</v>
      </c>
    </row>
    <row r="71" spans="6:15" x14ac:dyDescent="0.3">
      <c r="F71" s="6">
        <v>50</v>
      </c>
      <c r="G71" s="6">
        <v>44</v>
      </c>
      <c r="H71">
        <v>3.0000000000000001E-3</v>
      </c>
      <c r="I71">
        <v>1</v>
      </c>
      <c r="L71" s="6">
        <v>50</v>
      </c>
      <c r="M71" s="6">
        <v>44</v>
      </c>
      <c r="N71">
        <f>Result_Hydraulic_Iter1!F13</f>
        <v>109418169.32991402</v>
      </c>
      <c r="O71">
        <v>0</v>
      </c>
    </row>
    <row r="72" spans="6:15" x14ac:dyDescent="0.3">
      <c r="F72">
        <v>51</v>
      </c>
      <c r="G72">
        <v>52</v>
      </c>
      <c r="H72">
        <v>3.0000000000000001E-3</v>
      </c>
      <c r="I72">
        <v>1</v>
      </c>
      <c r="L72">
        <v>51</v>
      </c>
      <c r="M72">
        <v>52</v>
      </c>
      <c r="N72">
        <v>3.0000000000000001E-3</v>
      </c>
      <c r="O72">
        <v>1</v>
      </c>
    </row>
    <row r="73" spans="6:15" x14ac:dyDescent="0.3">
      <c r="F73">
        <v>52</v>
      </c>
      <c r="G73">
        <v>53</v>
      </c>
      <c r="H73">
        <v>2.8999999999999998E-3</v>
      </c>
      <c r="I73">
        <v>1</v>
      </c>
      <c r="L73">
        <v>52</v>
      </c>
      <c r="M73">
        <v>53</v>
      </c>
      <c r="N73">
        <v>2.8999999999999998E-3</v>
      </c>
      <c r="O73">
        <v>1</v>
      </c>
    </row>
    <row r="74" spans="6:15" x14ac:dyDescent="0.3">
      <c r="F74">
        <v>53</v>
      </c>
      <c r="G74">
        <v>54</v>
      </c>
      <c r="H74">
        <v>2.8999999999999998E-3</v>
      </c>
      <c r="I74">
        <v>1</v>
      </c>
      <c r="L74">
        <v>53</v>
      </c>
      <c r="M74">
        <v>54</v>
      </c>
      <c r="N74">
        <v>2.8999999999999998E-3</v>
      </c>
      <c r="O74">
        <v>1</v>
      </c>
    </row>
    <row r="75" spans="6:15" x14ac:dyDescent="0.3">
      <c r="F75" s="6">
        <v>54</v>
      </c>
      <c r="G75" s="6">
        <v>56</v>
      </c>
      <c r="H75">
        <v>1.8E-3</v>
      </c>
      <c r="I75">
        <v>1</v>
      </c>
      <c r="L75" s="6">
        <v>54</v>
      </c>
      <c r="M75" s="6">
        <v>56</v>
      </c>
      <c r="N75">
        <f>Result_Hydraulic_Iter1!F17</f>
        <v>1569819.0741768074</v>
      </c>
      <c r="O75">
        <v>0</v>
      </c>
    </row>
    <row r="76" spans="6:15" x14ac:dyDescent="0.3">
      <c r="F76">
        <v>55</v>
      </c>
      <c r="G76">
        <v>6</v>
      </c>
      <c r="H76">
        <v>3.5000000000000001E-3</v>
      </c>
      <c r="I76">
        <v>1</v>
      </c>
      <c r="L76">
        <v>55</v>
      </c>
      <c r="M76">
        <v>6</v>
      </c>
      <c r="N76">
        <v>3.5000000000000001E-3</v>
      </c>
      <c r="O76">
        <v>1</v>
      </c>
    </row>
    <row r="77" spans="6:15" x14ac:dyDescent="0.3">
      <c r="F77">
        <v>55</v>
      </c>
      <c r="G77">
        <v>5</v>
      </c>
      <c r="H77">
        <v>3.0000000000000001E-3</v>
      </c>
      <c r="I77">
        <v>1</v>
      </c>
      <c r="L77">
        <v>55</v>
      </c>
      <c r="M77">
        <v>5</v>
      </c>
      <c r="N77">
        <v>3.0000000000000001E-3</v>
      </c>
      <c r="O77">
        <v>1</v>
      </c>
    </row>
    <row r="78" spans="6:15" x14ac:dyDescent="0.3">
      <c r="F78" s="6">
        <v>56</v>
      </c>
      <c r="G78" s="6">
        <v>50</v>
      </c>
      <c r="H78">
        <v>3.0000000000000001E-3</v>
      </c>
      <c r="I78">
        <v>1</v>
      </c>
      <c r="L78" s="6">
        <v>56</v>
      </c>
      <c r="M78" s="6">
        <v>50</v>
      </c>
      <c r="N78">
        <f>Result_Hydraulic_Iter1!F14</f>
        <v>317610395.27007645</v>
      </c>
      <c r="O78">
        <v>0</v>
      </c>
    </row>
    <row r="79" spans="6:15" x14ac:dyDescent="0.3">
      <c r="F79" s="6">
        <v>56</v>
      </c>
      <c r="G79" s="6">
        <v>57</v>
      </c>
      <c r="H79">
        <v>1.9E-3</v>
      </c>
      <c r="I79">
        <v>1</v>
      </c>
      <c r="L79" s="6">
        <v>56</v>
      </c>
      <c r="M79" s="6">
        <v>57</v>
      </c>
      <c r="N79">
        <f>Result_Hydraulic_Iter1!F15</f>
        <v>1205800.4129373117</v>
      </c>
      <c r="O79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5455C-86A6-4332-A932-76AB9D0A2DC6}">
  <dimension ref="A1:E104"/>
  <sheetViews>
    <sheetView topLeftCell="A85" workbookViewId="0">
      <selection activeCell="H87" sqref="H87"/>
    </sheetView>
  </sheetViews>
  <sheetFormatPr defaultRowHeight="14.4" x14ac:dyDescent="0.3"/>
  <sheetData>
    <row r="1" spans="1:5" x14ac:dyDescent="0.3">
      <c r="A1" t="s">
        <v>32</v>
      </c>
      <c r="B1">
        <v>57</v>
      </c>
    </row>
    <row r="2" spans="1:5" x14ac:dyDescent="0.3">
      <c r="A2">
        <v>1</v>
      </c>
      <c r="B2">
        <v>2</v>
      </c>
      <c r="C2">
        <v>1</v>
      </c>
      <c r="D2">
        <v>2.5</v>
      </c>
      <c r="E2">
        <v>0</v>
      </c>
    </row>
    <row r="3" spans="1:5" x14ac:dyDescent="0.3">
      <c r="A3">
        <v>2</v>
      </c>
      <c r="B3">
        <v>4</v>
      </c>
      <c r="C3">
        <v>1</v>
      </c>
      <c r="D3">
        <v>2.6</v>
      </c>
      <c r="E3">
        <v>0</v>
      </c>
    </row>
    <row r="4" spans="1:5" x14ac:dyDescent="0.3">
      <c r="A4">
        <v>3</v>
      </c>
      <c r="B4">
        <v>5.7</v>
      </c>
      <c r="C4">
        <v>1</v>
      </c>
      <c r="D4">
        <v>2.7</v>
      </c>
      <c r="E4">
        <v>0</v>
      </c>
    </row>
    <row r="5" spans="1:5" x14ac:dyDescent="0.3">
      <c r="A5">
        <v>4</v>
      </c>
      <c r="B5">
        <v>7</v>
      </c>
      <c r="C5">
        <v>1</v>
      </c>
      <c r="D5">
        <v>2.8</v>
      </c>
      <c r="E5">
        <v>0</v>
      </c>
    </row>
    <row r="6" spans="1:5" x14ac:dyDescent="0.3">
      <c r="A6">
        <v>5</v>
      </c>
      <c r="B6">
        <v>2.5</v>
      </c>
      <c r="C6">
        <v>2</v>
      </c>
      <c r="D6">
        <v>2.6</v>
      </c>
      <c r="E6">
        <v>0</v>
      </c>
    </row>
    <row r="7" spans="1:5" x14ac:dyDescent="0.3">
      <c r="A7">
        <v>6</v>
      </c>
      <c r="B7">
        <v>5</v>
      </c>
      <c r="C7">
        <v>2</v>
      </c>
      <c r="D7">
        <v>2.6</v>
      </c>
      <c r="E7">
        <v>0</v>
      </c>
    </row>
    <row r="8" spans="1:5" x14ac:dyDescent="0.3">
      <c r="A8">
        <v>7</v>
      </c>
      <c r="B8">
        <v>1</v>
      </c>
      <c r="C8">
        <v>3</v>
      </c>
      <c r="D8">
        <v>2.2999999999999998</v>
      </c>
      <c r="E8">
        <v>0</v>
      </c>
    </row>
    <row r="9" spans="1:5" x14ac:dyDescent="0.3">
      <c r="A9">
        <v>8</v>
      </c>
      <c r="B9">
        <v>2</v>
      </c>
      <c r="C9">
        <v>3</v>
      </c>
      <c r="D9">
        <v>2.5</v>
      </c>
      <c r="E9">
        <v>0</v>
      </c>
    </row>
    <row r="10" spans="1:5" x14ac:dyDescent="0.3">
      <c r="A10">
        <v>9</v>
      </c>
      <c r="B10">
        <v>3</v>
      </c>
      <c r="C10">
        <v>3</v>
      </c>
      <c r="D10">
        <v>2.9</v>
      </c>
      <c r="E10">
        <v>0</v>
      </c>
    </row>
    <row r="11" spans="1:5" x14ac:dyDescent="0.3">
      <c r="A11">
        <v>10</v>
      </c>
      <c r="B11">
        <v>4</v>
      </c>
      <c r="C11">
        <v>3</v>
      </c>
      <c r="D11">
        <v>2.85</v>
      </c>
      <c r="E11">
        <v>0</v>
      </c>
    </row>
    <row r="12" spans="1:5" x14ac:dyDescent="0.3">
      <c r="A12">
        <v>11</v>
      </c>
      <c r="B12">
        <v>5</v>
      </c>
      <c r="C12">
        <v>3</v>
      </c>
      <c r="D12">
        <v>2.8</v>
      </c>
      <c r="E12">
        <v>0</v>
      </c>
    </row>
    <row r="13" spans="1:5" x14ac:dyDescent="0.3">
      <c r="A13">
        <v>12</v>
      </c>
      <c r="B13">
        <v>6</v>
      </c>
      <c r="C13">
        <v>3</v>
      </c>
      <c r="D13">
        <v>2.8</v>
      </c>
      <c r="E13">
        <v>0</v>
      </c>
    </row>
    <row r="14" spans="1:5" x14ac:dyDescent="0.3">
      <c r="A14">
        <v>13</v>
      </c>
      <c r="B14">
        <v>1</v>
      </c>
      <c r="C14">
        <v>4</v>
      </c>
      <c r="D14">
        <v>2.2000000000000002</v>
      </c>
      <c r="E14">
        <v>0</v>
      </c>
    </row>
    <row r="15" spans="1:5" x14ac:dyDescent="0.3">
      <c r="A15">
        <v>14</v>
      </c>
      <c r="B15">
        <v>2</v>
      </c>
      <c r="C15">
        <v>4</v>
      </c>
      <c r="D15">
        <v>2.4</v>
      </c>
      <c r="E15">
        <v>0</v>
      </c>
    </row>
    <row r="16" spans="1:5" x14ac:dyDescent="0.3">
      <c r="A16">
        <v>15</v>
      </c>
      <c r="B16">
        <v>3</v>
      </c>
      <c r="C16">
        <v>4</v>
      </c>
      <c r="D16">
        <v>2.5</v>
      </c>
      <c r="E16">
        <v>0</v>
      </c>
    </row>
    <row r="17" spans="1:5" x14ac:dyDescent="0.3">
      <c r="A17">
        <v>16</v>
      </c>
      <c r="B17">
        <v>4</v>
      </c>
      <c r="C17">
        <v>4</v>
      </c>
      <c r="D17">
        <v>2.6</v>
      </c>
      <c r="E17">
        <v>0</v>
      </c>
    </row>
    <row r="18" spans="1:5" x14ac:dyDescent="0.3">
      <c r="A18">
        <v>17</v>
      </c>
      <c r="B18">
        <v>5</v>
      </c>
      <c r="C18">
        <v>4</v>
      </c>
      <c r="D18">
        <v>2.6</v>
      </c>
      <c r="E18">
        <v>0</v>
      </c>
    </row>
    <row r="19" spans="1:5" x14ac:dyDescent="0.3">
      <c r="A19">
        <v>18</v>
      </c>
      <c r="B19">
        <v>1</v>
      </c>
      <c r="C19">
        <v>5</v>
      </c>
      <c r="D19">
        <v>2.2000000000000002</v>
      </c>
      <c r="E19">
        <v>0</v>
      </c>
    </row>
    <row r="20" spans="1:5" x14ac:dyDescent="0.3">
      <c r="A20">
        <v>19</v>
      </c>
      <c r="B20">
        <v>2</v>
      </c>
      <c r="C20">
        <v>5</v>
      </c>
      <c r="D20">
        <v>2.4</v>
      </c>
      <c r="E20">
        <v>0</v>
      </c>
    </row>
    <row r="21" spans="1:5" x14ac:dyDescent="0.3">
      <c r="A21">
        <v>20</v>
      </c>
      <c r="B21">
        <v>3</v>
      </c>
      <c r="C21">
        <v>5</v>
      </c>
      <c r="D21">
        <v>2.5</v>
      </c>
      <c r="E21">
        <v>0</v>
      </c>
    </row>
    <row r="22" spans="1:5" x14ac:dyDescent="0.3">
      <c r="A22">
        <v>21</v>
      </c>
      <c r="B22">
        <v>4</v>
      </c>
      <c r="C22">
        <v>5</v>
      </c>
      <c r="D22">
        <v>2.4500000000000002</v>
      </c>
      <c r="E22">
        <v>0</v>
      </c>
    </row>
    <row r="23" spans="1:5" x14ac:dyDescent="0.3">
      <c r="A23">
        <v>22</v>
      </c>
      <c r="B23">
        <v>5</v>
      </c>
      <c r="C23">
        <v>5</v>
      </c>
      <c r="D23">
        <v>2.4</v>
      </c>
      <c r="E23">
        <v>0</v>
      </c>
    </row>
    <row r="24" spans="1:5" x14ac:dyDescent="0.3">
      <c r="A24">
        <v>23</v>
      </c>
      <c r="B24">
        <v>6</v>
      </c>
      <c r="C24">
        <v>5</v>
      </c>
      <c r="D24">
        <v>2.35</v>
      </c>
      <c r="E24">
        <v>0</v>
      </c>
    </row>
    <row r="25" spans="1:5" x14ac:dyDescent="0.3">
      <c r="A25">
        <v>24</v>
      </c>
      <c r="B25">
        <v>7</v>
      </c>
      <c r="C25">
        <v>5</v>
      </c>
      <c r="D25">
        <v>2.2999999999999998</v>
      </c>
      <c r="E25">
        <v>0</v>
      </c>
    </row>
    <row r="26" spans="1:5" x14ac:dyDescent="0.3">
      <c r="A26">
        <v>25</v>
      </c>
      <c r="B26">
        <v>1</v>
      </c>
      <c r="C26">
        <v>6</v>
      </c>
      <c r="D26">
        <v>2.1</v>
      </c>
      <c r="E26">
        <v>0</v>
      </c>
    </row>
    <row r="27" spans="1:5" x14ac:dyDescent="0.3">
      <c r="A27">
        <v>26</v>
      </c>
      <c r="B27">
        <v>2</v>
      </c>
      <c r="C27">
        <v>6</v>
      </c>
      <c r="D27">
        <v>2.4</v>
      </c>
      <c r="E27">
        <v>0</v>
      </c>
    </row>
    <row r="28" spans="1:5" x14ac:dyDescent="0.3">
      <c r="A28">
        <v>27</v>
      </c>
      <c r="B28">
        <v>3</v>
      </c>
      <c r="C28">
        <v>6</v>
      </c>
      <c r="D28">
        <v>2.4</v>
      </c>
      <c r="E28">
        <v>0</v>
      </c>
    </row>
    <row r="29" spans="1:5" x14ac:dyDescent="0.3">
      <c r="A29">
        <v>28</v>
      </c>
      <c r="B29">
        <v>4</v>
      </c>
      <c r="C29">
        <v>6</v>
      </c>
      <c r="D29">
        <v>2.25</v>
      </c>
      <c r="E29">
        <v>0</v>
      </c>
    </row>
    <row r="30" spans="1:5" x14ac:dyDescent="0.3">
      <c r="A30">
        <v>29</v>
      </c>
      <c r="B30">
        <v>5</v>
      </c>
      <c r="C30">
        <v>6</v>
      </c>
      <c r="D30">
        <v>2.2000000000000002</v>
      </c>
      <c r="E30">
        <v>0</v>
      </c>
    </row>
    <row r="31" spans="1:5" x14ac:dyDescent="0.3">
      <c r="A31">
        <v>30</v>
      </c>
      <c r="B31">
        <v>1</v>
      </c>
      <c r="C31">
        <v>7</v>
      </c>
      <c r="D31">
        <v>2.1</v>
      </c>
      <c r="E31">
        <v>0</v>
      </c>
    </row>
    <row r="32" spans="1:5" x14ac:dyDescent="0.3">
      <c r="A32">
        <v>31</v>
      </c>
      <c r="B32">
        <v>2</v>
      </c>
      <c r="C32">
        <v>7</v>
      </c>
      <c r="D32">
        <v>2</v>
      </c>
      <c r="E32">
        <v>0</v>
      </c>
    </row>
    <row r="33" spans="1:5" x14ac:dyDescent="0.3">
      <c r="A33">
        <v>32</v>
      </c>
      <c r="B33">
        <v>3</v>
      </c>
      <c r="C33">
        <v>7</v>
      </c>
      <c r="D33">
        <v>2</v>
      </c>
      <c r="E33">
        <v>0</v>
      </c>
    </row>
    <row r="34" spans="1:5" x14ac:dyDescent="0.3">
      <c r="A34">
        <v>33</v>
      </c>
      <c r="B34">
        <v>4</v>
      </c>
      <c r="C34">
        <v>7</v>
      </c>
      <c r="D34">
        <v>1.95</v>
      </c>
      <c r="E34">
        <v>0</v>
      </c>
    </row>
    <row r="35" spans="1:5" x14ac:dyDescent="0.3">
      <c r="A35">
        <v>34</v>
      </c>
      <c r="B35">
        <v>5</v>
      </c>
      <c r="C35">
        <v>7</v>
      </c>
      <c r="D35">
        <v>2</v>
      </c>
      <c r="E35">
        <v>0</v>
      </c>
    </row>
    <row r="36" spans="1:5" x14ac:dyDescent="0.3">
      <c r="A36">
        <v>35</v>
      </c>
      <c r="B36">
        <v>6</v>
      </c>
      <c r="C36">
        <v>7</v>
      </c>
      <c r="D36">
        <v>1.95</v>
      </c>
      <c r="E36">
        <v>0</v>
      </c>
    </row>
    <row r="37" spans="1:5" x14ac:dyDescent="0.3">
      <c r="A37">
        <v>36</v>
      </c>
      <c r="B37">
        <v>7</v>
      </c>
      <c r="C37">
        <v>7</v>
      </c>
      <c r="D37">
        <v>1.9</v>
      </c>
      <c r="E37">
        <v>0</v>
      </c>
    </row>
    <row r="38" spans="1:5" x14ac:dyDescent="0.3">
      <c r="A38">
        <v>37</v>
      </c>
      <c r="B38">
        <v>5</v>
      </c>
      <c r="C38">
        <v>8</v>
      </c>
      <c r="D38">
        <v>2.0499999999999998</v>
      </c>
      <c r="E38">
        <v>0</v>
      </c>
    </row>
    <row r="39" spans="1:5" x14ac:dyDescent="0.3">
      <c r="A39">
        <v>38</v>
      </c>
      <c r="B39">
        <v>1</v>
      </c>
      <c r="C39">
        <v>9</v>
      </c>
      <c r="D39">
        <v>2.2000000000000002</v>
      </c>
      <c r="E39">
        <v>0</v>
      </c>
    </row>
    <row r="40" spans="1:5" x14ac:dyDescent="0.3">
      <c r="A40">
        <v>39</v>
      </c>
      <c r="B40">
        <v>2</v>
      </c>
      <c r="C40">
        <v>9</v>
      </c>
      <c r="D40">
        <v>2.1</v>
      </c>
      <c r="E40">
        <v>0</v>
      </c>
    </row>
    <row r="41" spans="1:5" x14ac:dyDescent="0.3">
      <c r="A41">
        <v>40</v>
      </c>
      <c r="B41">
        <v>3</v>
      </c>
      <c r="C41">
        <v>9</v>
      </c>
      <c r="D41">
        <v>2</v>
      </c>
      <c r="E41">
        <v>0</v>
      </c>
    </row>
    <row r="42" spans="1:5" x14ac:dyDescent="0.3">
      <c r="A42">
        <v>41</v>
      </c>
      <c r="B42">
        <v>4</v>
      </c>
      <c r="C42">
        <v>9</v>
      </c>
      <c r="D42">
        <v>2.1</v>
      </c>
      <c r="E42">
        <v>0</v>
      </c>
    </row>
    <row r="43" spans="1:5" x14ac:dyDescent="0.3">
      <c r="A43">
        <v>42</v>
      </c>
      <c r="B43">
        <v>5</v>
      </c>
      <c r="C43">
        <v>9</v>
      </c>
      <c r="D43">
        <v>2.1</v>
      </c>
      <c r="E43">
        <v>0</v>
      </c>
    </row>
    <row r="44" spans="1:5" x14ac:dyDescent="0.3">
      <c r="A44">
        <v>43</v>
      </c>
      <c r="B44">
        <v>6</v>
      </c>
      <c r="C44">
        <v>9</v>
      </c>
      <c r="D44">
        <v>2</v>
      </c>
      <c r="E44">
        <v>0</v>
      </c>
    </row>
    <row r="45" spans="1:5" x14ac:dyDescent="0.3">
      <c r="A45">
        <v>44</v>
      </c>
      <c r="B45">
        <v>7</v>
      </c>
      <c r="C45">
        <v>9</v>
      </c>
      <c r="D45">
        <v>2</v>
      </c>
      <c r="E45">
        <v>0</v>
      </c>
    </row>
    <row r="46" spans="1:5" x14ac:dyDescent="0.3">
      <c r="A46">
        <v>45</v>
      </c>
      <c r="B46">
        <v>2</v>
      </c>
      <c r="C46">
        <v>10</v>
      </c>
      <c r="D46">
        <v>2.2000000000000002</v>
      </c>
      <c r="E46">
        <v>0</v>
      </c>
    </row>
    <row r="47" spans="1:5" x14ac:dyDescent="0.3">
      <c r="A47">
        <v>46</v>
      </c>
      <c r="B47">
        <v>3</v>
      </c>
      <c r="C47">
        <v>10</v>
      </c>
      <c r="D47">
        <v>2.1</v>
      </c>
      <c r="E47">
        <v>0</v>
      </c>
    </row>
    <row r="48" spans="1:5" x14ac:dyDescent="0.3">
      <c r="A48">
        <v>47</v>
      </c>
      <c r="B48">
        <v>4</v>
      </c>
      <c r="C48">
        <v>10</v>
      </c>
      <c r="D48">
        <v>2.2000000000000002</v>
      </c>
      <c r="E48">
        <v>0</v>
      </c>
    </row>
    <row r="49" spans="1:5" x14ac:dyDescent="0.3">
      <c r="A49">
        <v>48</v>
      </c>
      <c r="B49">
        <v>5</v>
      </c>
      <c r="C49">
        <v>10</v>
      </c>
      <c r="D49">
        <v>2.1</v>
      </c>
      <c r="E49">
        <v>0</v>
      </c>
    </row>
    <row r="50" spans="1:5" x14ac:dyDescent="0.3">
      <c r="A50">
        <v>49</v>
      </c>
      <c r="B50">
        <v>6</v>
      </c>
      <c r="C50">
        <v>10</v>
      </c>
      <c r="D50">
        <v>2.1</v>
      </c>
      <c r="E50">
        <v>0</v>
      </c>
    </row>
    <row r="51" spans="1:5" x14ac:dyDescent="0.3">
      <c r="A51">
        <v>50</v>
      </c>
      <c r="B51">
        <v>7</v>
      </c>
      <c r="C51">
        <v>10</v>
      </c>
      <c r="D51">
        <v>2.1</v>
      </c>
      <c r="E51">
        <v>0</v>
      </c>
    </row>
    <row r="52" spans="1:5" x14ac:dyDescent="0.3">
      <c r="A52">
        <v>51</v>
      </c>
      <c r="B52">
        <v>3</v>
      </c>
      <c r="C52">
        <v>11</v>
      </c>
      <c r="D52">
        <v>2.2000000000000002</v>
      </c>
      <c r="E52">
        <v>0</v>
      </c>
    </row>
    <row r="53" spans="1:5" x14ac:dyDescent="0.3">
      <c r="A53">
        <v>52</v>
      </c>
      <c r="B53">
        <v>4</v>
      </c>
      <c r="C53">
        <v>11</v>
      </c>
      <c r="D53">
        <v>2.2000000000000002</v>
      </c>
      <c r="E53">
        <v>0</v>
      </c>
    </row>
    <row r="54" spans="1:5" x14ac:dyDescent="0.3">
      <c r="A54">
        <v>53</v>
      </c>
      <c r="B54">
        <v>5</v>
      </c>
      <c r="C54">
        <v>11</v>
      </c>
      <c r="D54">
        <v>2.2000000000000002</v>
      </c>
      <c r="E54">
        <v>0</v>
      </c>
    </row>
    <row r="55" spans="1:5" x14ac:dyDescent="0.3">
      <c r="A55">
        <v>54</v>
      </c>
      <c r="B55">
        <v>6</v>
      </c>
      <c r="C55">
        <v>11</v>
      </c>
      <c r="D55">
        <v>2.25</v>
      </c>
      <c r="E55">
        <v>0</v>
      </c>
    </row>
    <row r="56" spans="1:5" x14ac:dyDescent="0.3">
      <c r="A56">
        <v>55</v>
      </c>
      <c r="B56">
        <v>7</v>
      </c>
      <c r="C56">
        <v>11</v>
      </c>
      <c r="D56">
        <v>2.7</v>
      </c>
      <c r="E56">
        <v>0</v>
      </c>
    </row>
    <row r="57" spans="1:5" x14ac:dyDescent="0.3">
      <c r="A57">
        <v>56</v>
      </c>
      <c r="B57">
        <v>7</v>
      </c>
      <c r="C57">
        <v>12</v>
      </c>
      <c r="D57">
        <v>2.2000000000000002</v>
      </c>
      <c r="E57">
        <v>0</v>
      </c>
    </row>
    <row r="58" spans="1:5" x14ac:dyDescent="0.3">
      <c r="A58">
        <v>57</v>
      </c>
      <c r="B58">
        <v>7</v>
      </c>
      <c r="C58">
        <v>13</v>
      </c>
      <c r="D58">
        <v>2.2000000000000002</v>
      </c>
      <c r="E58">
        <v>1</v>
      </c>
    </row>
    <row r="59" spans="1:5" x14ac:dyDescent="0.3">
      <c r="A59" t="s">
        <v>26</v>
      </c>
      <c r="B59">
        <v>78</v>
      </c>
    </row>
    <row r="60" spans="1:5" x14ac:dyDescent="0.3">
      <c r="A60">
        <v>4</v>
      </c>
      <c r="B60">
        <v>3</v>
      </c>
      <c r="C60">
        <v>1</v>
      </c>
      <c r="D60">
        <v>3.0000000000000001E-3</v>
      </c>
    </row>
    <row r="61" spans="1:5" x14ac:dyDescent="0.3">
      <c r="A61">
        <v>9</v>
      </c>
      <c r="B61">
        <v>15</v>
      </c>
      <c r="C61">
        <v>2</v>
      </c>
      <c r="D61">
        <v>6.5750014440274299E-2</v>
      </c>
    </row>
    <row r="62" spans="1:5" x14ac:dyDescent="0.3">
      <c r="A62">
        <v>3</v>
      </c>
      <c r="B62">
        <v>2</v>
      </c>
      <c r="C62">
        <v>2</v>
      </c>
      <c r="D62">
        <v>8.0000000000000002E-3</v>
      </c>
    </row>
    <row r="63" spans="1:5" x14ac:dyDescent="0.3">
      <c r="A63">
        <v>11</v>
      </c>
      <c r="B63">
        <v>17</v>
      </c>
      <c r="C63">
        <v>2</v>
      </c>
      <c r="D63">
        <v>3.0999981749938298E-2</v>
      </c>
    </row>
    <row r="64" spans="1:5" x14ac:dyDescent="0.3">
      <c r="A64">
        <v>12</v>
      </c>
      <c r="B64">
        <v>11</v>
      </c>
      <c r="C64">
        <v>1</v>
      </c>
      <c r="D64">
        <v>4.0000000000000001E-3</v>
      </c>
    </row>
    <row r="65" spans="1:4" x14ac:dyDescent="0.3">
      <c r="A65">
        <v>13</v>
      </c>
      <c r="B65">
        <v>7</v>
      </c>
      <c r="C65">
        <v>1</v>
      </c>
      <c r="D65">
        <v>4.9999974037241201E-3</v>
      </c>
    </row>
    <row r="66" spans="1:4" x14ac:dyDescent="0.3">
      <c r="A66">
        <v>13</v>
      </c>
      <c r="B66">
        <v>18</v>
      </c>
      <c r="C66">
        <v>1</v>
      </c>
      <c r="D66">
        <v>1.74999995624953E-3</v>
      </c>
    </row>
    <row r="67" spans="1:4" x14ac:dyDescent="0.3">
      <c r="A67">
        <v>15</v>
      </c>
      <c r="B67">
        <v>20</v>
      </c>
      <c r="C67">
        <v>2</v>
      </c>
      <c r="D67">
        <v>6.7750014443576298E-2</v>
      </c>
    </row>
    <row r="68" spans="1:4" x14ac:dyDescent="0.3">
      <c r="A68">
        <v>19</v>
      </c>
      <c r="B68">
        <v>20</v>
      </c>
      <c r="C68">
        <v>2</v>
      </c>
      <c r="D68">
        <v>2.2500001896159701E-2</v>
      </c>
    </row>
    <row r="69" spans="1:4" x14ac:dyDescent="0.3">
      <c r="A69">
        <v>17</v>
      </c>
      <c r="B69">
        <v>22</v>
      </c>
      <c r="C69">
        <v>2</v>
      </c>
      <c r="D69">
        <v>3.69999817499383E-2</v>
      </c>
    </row>
    <row r="70" spans="1:4" x14ac:dyDescent="0.3">
      <c r="A70">
        <v>26</v>
      </c>
      <c r="B70">
        <v>19</v>
      </c>
      <c r="C70">
        <v>1</v>
      </c>
      <c r="D70">
        <v>4.9999989999998003E-4</v>
      </c>
    </row>
    <row r="71" spans="1:4" x14ac:dyDescent="0.3">
      <c r="A71">
        <v>20</v>
      </c>
      <c r="B71">
        <v>27</v>
      </c>
      <c r="C71">
        <v>2</v>
      </c>
      <c r="D71">
        <v>0.114250016339736</v>
      </c>
    </row>
    <row r="72" spans="1:4" x14ac:dyDescent="0.3">
      <c r="A72">
        <v>21</v>
      </c>
      <c r="B72">
        <v>20</v>
      </c>
      <c r="C72">
        <v>1</v>
      </c>
      <c r="D72">
        <v>1.2999999999999999E-2</v>
      </c>
    </row>
    <row r="73" spans="1:4" x14ac:dyDescent="0.3">
      <c r="A73">
        <v>28</v>
      </c>
      <c r="B73">
        <v>21</v>
      </c>
      <c r="C73">
        <v>1</v>
      </c>
      <c r="D73">
        <v>1E-3</v>
      </c>
    </row>
    <row r="74" spans="1:4" x14ac:dyDescent="0.3">
      <c r="A74">
        <v>22</v>
      </c>
      <c r="B74">
        <v>23</v>
      </c>
      <c r="C74">
        <v>2</v>
      </c>
      <c r="D74">
        <v>5.6749981870936703E-2</v>
      </c>
    </row>
    <row r="75" spans="1:4" x14ac:dyDescent="0.3">
      <c r="A75">
        <v>23</v>
      </c>
      <c r="B75">
        <v>35</v>
      </c>
      <c r="C75">
        <v>2</v>
      </c>
      <c r="D75">
        <v>7.7499981862438394E-2</v>
      </c>
    </row>
    <row r="76" spans="1:4" x14ac:dyDescent="0.3">
      <c r="A76">
        <v>21</v>
      </c>
      <c r="B76">
        <v>22</v>
      </c>
      <c r="C76">
        <v>2</v>
      </c>
      <c r="D76">
        <v>3.25000011250001E-3</v>
      </c>
    </row>
    <row r="77" spans="1:4" x14ac:dyDescent="0.3">
      <c r="A77">
        <v>33</v>
      </c>
      <c r="B77">
        <v>32</v>
      </c>
      <c r="C77">
        <v>2</v>
      </c>
      <c r="D77">
        <v>1.35E-2</v>
      </c>
    </row>
    <row r="78" spans="1:4" x14ac:dyDescent="0.3">
      <c r="A78">
        <v>49</v>
      </c>
      <c r="B78">
        <v>50</v>
      </c>
      <c r="C78">
        <v>1</v>
      </c>
      <c r="D78">
        <v>0</v>
      </c>
    </row>
    <row r="79" spans="1:4" x14ac:dyDescent="0.3">
      <c r="A79">
        <v>27</v>
      </c>
      <c r="B79">
        <v>32</v>
      </c>
      <c r="C79">
        <v>2</v>
      </c>
      <c r="D79">
        <v>0.12325001633973599</v>
      </c>
    </row>
    <row r="80" spans="1:4" x14ac:dyDescent="0.3">
      <c r="A80">
        <v>28</v>
      </c>
      <c r="B80">
        <v>33</v>
      </c>
      <c r="C80">
        <v>1</v>
      </c>
      <c r="D80">
        <v>3.0000000000000001E-3</v>
      </c>
    </row>
    <row r="81" spans="1:4" x14ac:dyDescent="0.3">
      <c r="A81">
        <v>29</v>
      </c>
      <c r="B81">
        <v>34</v>
      </c>
      <c r="C81">
        <v>1</v>
      </c>
      <c r="D81">
        <v>1.5E-3</v>
      </c>
    </row>
    <row r="82" spans="1:4" x14ac:dyDescent="0.3">
      <c r="A82">
        <v>29</v>
      </c>
      <c r="B82">
        <v>22</v>
      </c>
      <c r="C82">
        <v>1</v>
      </c>
      <c r="D82">
        <v>4.5000000084983102E-3</v>
      </c>
    </row>
    <row r="83" spans="1:4" x14ac:dyDescent="0.3">
      <c r="A83">
        <v>31</v>
      </c>
      <c r="B83">
        <v>32</v>
      </c>
      <c r="C83">
        <v>1</v>
      </c>
      <c r="D83">
        <v>3.9999996999998903E-3</v>
      </c>
    </row>
    <row r="84" spans="1:4" x14ac:dyDescent="0.3">
      <c r="A84">
        <v>32</v>
      </c>
      <c r="B84">
        <v>40</v>
      </c>
      <c r="C84">
        <v>2</v>
      </c>
      <c r="D84">
        <v>0.14875001603973501</v>
      </c>
    </row>
    <row r="85" spans="1:4" x14ac:dyDescent="0.3">
      <c r="A85">
        <v>37</v>
      </c>
      <c r="B85">
        <v>34</v>
      </c>
      <c r="C85">
        <v>1</v>
      </c>
      <c r="D85">
        <v>3.0000000000000001E-3</v>
      </c>
    </row>
    <row r="86" spans="1:4" x14ac:dyDescent="0.3">
      <c r="A86">
        <v>34</v>
      </c>
      <c r="B86">
        <v>33</v>
      </c>
      <c r="C86">
        <v>2</v>
      </c>
      <c r="D86">
        <v>4.4999999999999997E-3</v>
      </c>
    </row>
    <row r="87" spans="1:4" x14ac:dyDescent="0.3">
      <c r="A87">
        <v>34</v>
      </c>
      <c r="B87">
        <v>35</v>
      </c>
      <c r="C87">
        <v>1</v>
      </c>
      <c r="D87">
        <v>0.01</v>
      </c>
    </row>
    <row r="88" spans="1:4" x14ac:dyDescent="0.3">
      <c r="A88">
        <v>35</v>
      </c>
      <c r="B88">
        <v>43</v>
      </c>
      <c r="C88">
        <v>2</v>
      </c>
      <c r="D88">
        <v>0.106999981862438</v>
      </c>
    </row>
    <row r="89" spans="1:4" x14ac:dyDescent="0.3">
      <c r="A89">
        <v>36</v>
      </c>
      <c r="B89">
        <v>35</v>
      </c>
      <c r="C89">
        <v>1</v>
      </c>
      <c r="D89">
        <v>9.4999999999999894E-3</v>
      </c>
    </row>
    <row r="90" spans="1:4" x14ac:dyDescent="0.3">
      <c r="A90">
        <v>44</v>
      </c>
      <c r="B90">
        <v>36</v>
      </c>
      <c r="C90">
        <v>2</v>
      </c>
      <c r="D90">
        <v>1.25E-3</v>
      </c>
    </row>
    <row r="91" spans="1:4" x14ac:dyDescent="0.3">
      <c r="A91">
        <v>39</v>
      </c>
      <c r="B91">
        <v>40</v>
      </c>
      <c r="C91">
        <v>1</v>
      </c>
      <c r="D91">
        <v>2E-3</v>
      </c>
    </row>
    <row r="92" spans="1:4" x14ac:dyDescent="0.3">
      <c r="A92">
        <v>40</v>
      </c>
      <c r="B92">
        <v>41</v>
      </c>
      <c r="C92">
        <v>2</v>
      </c>
      <c r="D92">
        <v>0.15675001603973501</v>
      </c>
    </row>
    <row r="93" spans="1:4" x14ac:dyDescent="0.3">
      <c r="A93">
        <v>42</v>
      </c>
      <c r="B93">
        <v>41</v>
      </c>
      <c r="C93">
        <v>2</v>
      </c>
      <c r="D93">
        <v>0.12574998096023701</v>
      </c>
    </row>
    <row r="94" spans="1:4" x14ac:dyDescent="0.3">
      <c r="A94">
        <v>44</v>
      </c>
      <c r="B94">
        <v>43</v>
      </c>
      <c r="C94">
        <v>1</v>
      </c>
      <c r="D94">
        <v>3.7499999999999999E-3</v>
      </c>
    </row>
    <row r="95" spans="1:4" x14ac:dyDescent="0.3">
      <c r="A95">
        <v>43</v>
      </c>
      <c r="B95">
        <v>42</v>
      </c>
      <c r="C95">
        <v>2</v>
      </c>
      <c r="D95">
        <v>0.11374998186023801</v>
      </c>
    </row>
    <row r="96" spans="1:4" x14ac:dyDescent="0.3">
      <c r="A96">
        <v>43</v>
      </c>
      <c r="B96">
        <v>49</v>
      </c>
      <c r="C96">
        <v>1</v>
      </c>
      <c r="D96">
        <v>7.4999994375000404E-4</v>
      </c>
    </row>
    <row r="97" spans="1:4" x14ac:dyDescent="0.3">
      <c r="A97">
        <v>24</v>
      </c>
      <c r="B97">
        <v>23</v>
      </c>
      <c r="C97">
        <v>2</v>
      </c>
      <c r="D97">
        <v>9.75E-3</v>
      </c>
    </row>
    <row r="98" spans="1:4" x14ac:dyDescent="0.3">
      <c r="A98">
        <v>36</v>
      </c>
      <c r="B98">
        <v>24</v>
      </c>
      <c r="C98">
        <v>2</v>
      </c>
      <c r="D98">
        <v>2.7499999999999998E-3</v>
      </c>
    </row>
    <row r="99" spans="1:4" x14ac:dyDescent="0.3">
      <c r="A99">
        <v>41</v>
      </c>
      <c r="B99">
        <v>47</v>
      </c>
      <c r="C99">
        <v>2</v>
      </c>
      <c r="D99">
        <v>0.28849999699997297</v>
      </c>
    </row>
    <row r="100" spans="1:4" x14ac:dyDescent="0.3">
      <c r="A100">
        <v>49</v>
      </c>
      <c r="B100">
        <v>54</v>
      </c>
      <c r="C100">
        <v>2</v>
      </c>
      <c r="D100">
        <v>0</v>
      </c>
    </row>
    <row r="101" spans="1:4" x14ac:dyDescent="0.3">
      <c r="A101">
        <v>52</v>
      </c>
      <c r="B101">
        <v>53</v>
      </c>
      <c r="C101">
        <v>2</v>
      </c>
      <c r="D101">
        <v>0.32700000000000001</v>
      </c>
    </row>
    <row r="102" spans="1:4" x14ac:dyDescent="0.3">
      <c r="A102">
        <v>53</v>
      </c>
      <c r="B102">
        <v>54</v>
      </c>
      <c r="C102">
        <v>2</v>
      </c>
      <c r="D102">
        <v>0.32700000000000001</v>
      </c>
    </row>
    <row r="103" spans="1:4" x14ac:dyDescent="0.3">
      <c r="A103">
        <v>54</v>
      </c>
      <c r="B103">
        <v>56</v>
      </c>
      <c r="C103">
        <v>2</v>
      </c>
      <c r="D103">
        <v>0.32700000000000001</v>
      </c>
    </row>
    <row r="104" spans="1:4" x14ac:dyDescent="0.3">
      <c r="A104">
        <v>56</v>
      </c>
      <c r="B104">
        <v>57</v>
      </c>
      <c r="C104">
        <v>2</v>
      </c>
      <c r="D104">
        <v>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</vt:lpstr>
      <vt:lpstr>Results_Layout_Iter1</vt:lpstr>
      <vt:lpstr>Result_Hydraulic_Iter1</vt:lpstr>
      <vt:lpstr>Input_Iter2</vt:lpstr>
      <vt:lpstr>Results_Layout_Iter2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Anjali Bansal</cp:lastModifiedBy>
  <dcterms:created xsi:type="dcterms:W3CDTF">2024-08-28T07:54:42Z</dcterms:created>
  <dcterms:modified xsi:type="dcterms:W3CDTF">2025-05-21T05:31:27Z</dcterms:modified>
</cp:coreProperties>
</file>