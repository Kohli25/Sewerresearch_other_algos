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njal\OneDrive - IIT Delhi\Octodo\3. Git Repos\sewerresearch\sewerresearch\venu\Files\"/>
    </mc:Choice>
  </mc:AlternateContent>
  <xr:revisionPtr revIDLastSave="0" documentId="13_ncr:1_{4ED74DCB-7F11-406B-A201-42AFBD495DDC}" xr6:coauthVersionLast="47" xr6:coauthVersionMax="47" xr10:uidLastSave="{00000000-0000-0000-0000-000000000000}"/>
  <bookViews>
    <workbookView xWindow="-108" yWindow="-108" windowWidth="23256" windowHeight="12456" tabRatio="708" firstSheet="3" activeTab="9" xr2:uid="{00000000-000D-0000-FFFF-FFFF00000000}"/>
  </bookViews>
  <sheets>
    <sheet name="Input" sheetId="2" r:id="rId1"/>
    <sheet name="Result_hydraulic_1" sheetId="4" r:id="rId2"/>
    <sheet name="Input_Iter2" sheetId="5" r:id="rId3"/>
    <sheet name="Result_hydraulic_2" sheetId="8" r:id="rId4"/>
    <sheet name="Input_Iter3" sheetId="9" r:id="rId5"/>
    <sheet name="Result_hydraulic_3" sheetId="11" r:id="rId6"/>
    <sheet name="Input_Iter4" sheetId="12" r:id="rId7"/>
    <sheet name="Result_hydraulic_4" sheetId="13" r:id="rId8"/>
    <sheet name="Input_Iter5" sheetId="14" r:id="rId9"/>
    <sheet name="Result_hydraulic_5" sheetId="15" r:id="rId10"/>
    <sheet name="Input_Iter6" sheetId="16" r:id="rId11"/>
    <sheet name="Result_hydraulic_6" sheetId="17" r:id="rId12"/>
    <sheet name="Input_Iter7" sheetId="18" r:id="rId13"/>
    <sheet name="Result_hydraulic_7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2" i="18"/>
  <c r="F2" i="16"/>
  <c r="F2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2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2" i="12"/>
  <c r="F3" i="11"/>
  <c r="F4" i="11"/>
  <c r="F2" i="11"/>
  <c r="F79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C75" i="5"/>
  <c r="C69" i="5"/>
  <c r="C79" i="5"/>
  <c r="C78" i="5"/>
  <c r="C71" i="5"/>
  <c r="F14" i="4"/>
  <c r="F15" i="4"/>
  <c r="F16" i="4"/>
  <c r="F17" i="4"/>
  <c r="F13" i="4"/>
</calcChain>
</file>

<file path=xl/sharedStrings.xml><?xml version="1.0" encoding="utf-8"?>
<sst xmlns="http://schemas.openxmlformats.org/spreadsheetml/2006/main" count="256" uniqueCount="126">
  <si>
    <t>ID</t>
  </si>
  <si>
    <t>X</t>
  </si>
  <si>
    <t>Y</t>
  </si>
  <si>
    <t>Z</t>
  </si>
  <si>
    <t>INFLOW</t>
  </si>
  <si>
    <t>v1</t>
  </si>
  <si>
    <t>v2</t>
  </si>
  <si>
    <t>slope</t>
  </si>
  <si>
    <t>intercept</t>
  </si>
  <si>
    <t>Total computational time: 6.54 seconds</t>
  </si>
  <si>
    <t xml:space="preserve">(61, 69, 1) </t>
  </si>
  <si>
    <t xml:space="preserve">(69, 77, 2) </t>
  </si>
  <si>
    <t xml:space="preserve">(77, 78, 2) </t>
  </si>
  <si>
    <t xml:space="preserve">(68, 75, 1) </t>
  </si>
  <si>
    <t xml:space="preserve">(75, 77, 2) </t>
  </si>
  <si>
    <t>Qd</t>
  </si>
  <si>
    <t>Cost</t>
  </si>
  <si>
    <t xml:space="preserve">z = (0.8,-9.1 ) </t>
  </si>
  <si>
    <t xml:space="preserve">z = (-9.1,-9.15 ) </t>
  </si>
  <si>
    <t>z = (-9.15,-9.18 )</t>
  </si>
  <si>
    <t>z = (0.9,-8.95 )</t>
  </si>
  <si>
    <t>z = (-8.95,-9.1 )</t>
  </si>
  <si>
    <t xml:space="preserve">  d = 0.3</t>
  </si>
  <si>
    <t xml:space="preserve">  d = 0.2</t>
  </si>
  <si>
    <t xml:space="preserve">  d = 0.38</t>
  </si>
  <si>
    <t xml:space="preserve">  d = 0.35</t>
  </si>
  <si>
    <t>i</t>
  </si>
  <si>
    <t>j</t>
  </si>
  <si>
    <t>t</t>
  </si>
  <si>
    <t>q_ij</t>
  </si>
  <si>
    <t>cost_ij</t>
  </si>
  <si>
    <t>273545.4233247841</t>
  </si>
  <si>
    <t>794025.9881751882</t>
  </si>
  <si>
    <t>0.3400000000000002</t>
  </si>
  <si>
    <t>409972.1403986862</t>
  </si>
  <si>
    <t>0.3245000000000002</t>
  </si>
  <si>
    <t>509406.2895703747</t>
  </si>
  <si>
    <t>new_slope</t>
  </si>
  <si>
    <t>new_intercept</t>
  </si>
  <si>
    <t>345554.3298778656</t>
  </si>
  <si>
    <t>452109.7741310441</t>
  </si>
  <si>
    <t>532069.5903446816</t>
  </si>
  <si>
    <t>0.012999993529793554</t>
  </si>
  <si>
    <t>595012.3612293066</t>
  </si>
  <si>
    <t>273545.42424924014</t>
  </si>
  <si>
    <t>0.031000001250000624</t>
  </si>
  <si>
    <t>283731.3520424872</t>
  </si>
  <si>
    <t>576804.0908589236</t>
  </si>
  <si>
    <t>0.10899999937061994</t>
  </si>
  <si>
    <t>726478.3881793582</t>
  </si>
  <si>
    <t>0.11575000124859278</t>
  </si>
  <si>
    <t>452294.8606980291</t>
  </si>
  <si>
    <t>0.12775000034859205</t>
  </si>
  <si>
    <t>481373.33204124786</t>
  </si>
  <si>
    <t>265688.9934396152</t>
  </si>
  <si>
    <t>273545.4251736962</t>
  </si>
  <si>
    <t>452120.1582583494</t>
  </si>
  <si>
    <t>683545.9022103148</t>
  </si>
  <si>
    <t>0.062499997492942466</t>
  </si>
  <si>
    <t>684935.7754487975</t>
  </si>
  <si>
    <t>730392.5840763226</t>
  </si>
  <si>
    <t>0.12424998816417249</t>
  </si>
  <si>
    <t>730734.6765961621</t>
  </si>
  <si>
    <t>0.1332499881641725</t>
  </si>
  <si>
    <t>0.15374998816417249</t>
  </si>
  <si>
    <t>1538839.253996287</t>
  </si>
  <si>
    <t>0.1602499881641725</t>
  </si>
  <si>
    <t>817888.1306563157</t>
  </si>
  <si>
    <t>0.29399998851276454</t>
  </si>
  <si>
    <t>881000.7406225392</t>
  </si>
  <si>
    <t>0.31549999719999794</t>
  </si>
  <si>
    <t>902109.8865210543</t>
  </si>
  <si>
    <t>0.3270000000000002</t>
  </si>
  <si>
    <t>982729.0209957804</t>
  </si>
  <si>
    <t>1408553.6415247417</t>
  </si>
  <si>
    <t>1060750.0482356483</t>
  </si>
  <si>
    <t>265688.9928448103</t>
  </si>
  <si>
    <t>0.011999999549999866</t>
  </si>
  <si>
    <t>458942.0349649269</t>
  </si>
  <si>
    <t>509512.62655038806</t>
  </si>
  <si>
    <t>390832.57833070896</t>
  </si>
  <si>
    <t>388343.07807876443</t>
  </si>
  <si>
    <t>481241.1295643693</t>
  </si>
  <si>
    <t>0.023249988324490524</t>
  </si>
  <si>
    <t>636694.1794858896</t>
  </si>
  <si>
    <t>0.035749990521769755</t>
  </si>
  <si>
    <t>c_ij</t>
  </si>
  <si>
    <t>a_ij</t>
  </si>
  <si>
    <t>SOLUTION...</t>
  </si>
  <si>
    <t xml:space="preserve">Designed Section: </t>
  </si>
  <si>
    <t>(66, 71, 1) :  d = 0.2 , z = (0.9,-8.95 ) cost: 273545.4233247841 Qd:0.30150000000000016</t>
  </si>
  <si>
    <t>Designed Section:</t>
  </si>
  <si>
    <t>(71, 73, 2) :  d = 0.3 , z = (-8.95,-9.1 ) cost: 509406.2895703747 Qd:0.3270000000000002</t>
  </si>
  <si>
    <t>(73, 74, 2) :  d = 0.35 , z = (-9.1,-9.15 ) cost: 390832.57833070896 Qd:0.3400000000000002</t>
  </si>
  <si>
    <t>0.30150000000000016</t>
  </si>
  <si>
    <t>(52, 49, 1) :  d = 0.2 , z = (0.9,-9.0 ) cost: 273545.4233247841 Qd:0.0005</t>
  </si>
  <si>
    <t>(49, 61, 2) :  d = 0.25 , z = (-9.0,-9.05 ) cost: 458942.0349649269 Qd:0.0035</t>
  </si>
  <si>
    <t>(61, 70, 2) :  d = 0.3 , z = (-9.05,-9.1 ) cost: 509512.62655038806 Qd:0.0085</t>
  </si>
  <si>
    <t>(70, 71, 2) :  d = 0.35 , z = (-9.1,-9.15 ) cost: 390832.57833070896 Qd:0.0115</t>
  </si>
  <si>
    <t>(53, 62, 1) :  d = 0.2 , z = (0.9,-9.1 ) cost: 388343.07807876443 Qd:0.0005</t>
  </si>
  <si>
    <t>(62, 63, 2) :  d = 0.35 , z = (-9.1,-9.15 ) cost: 390684.557059218 Qd:0.0035</t>
  </si>
  <si>
    <t>(63, 71, 2) :  d = 0.38 , z = (-9.15,-9.18 ) cost: 409972.1403986862 Qd:0.014</t>
  </si>
  <si>
    <t>(71, 72, 2) :  d = 0.4 , z = (-9.18,-9.2 ) cost: 422415.88796724565 Qd:0.025500000000000023</t>
  </si>
  <si>
    <t>(72, 73, 2) :  d = 0.5 , z = (-9.2,-9.25 ) cost: 481278.8893974336 Qd:0.025500000000000023</t>
  </si>
  <si>
    <t>(73, 75, 2) :  d = 0.5 , z = (-9.25,-9.3 ) cost: 686426.8323669605 Qd:0.3270000000000002</t>
  </si>
  <si>
    <t>(75, 76, 2) :  d = 0.53 , z = (-9.3,-9.33 ) cost: 498255.2465586415 Qd:0.3400000000000002</t>
  </si>
  <si>
    <t>(56, 63, 1) :  d = 0.2 , z = (0.9,-9.0 ) cost: 273545.4233247841 Qd:0.0015</t>
  </si>
  <si>
    <t>(65, 63, 1) :  d = 0.2 , z = (0.9,-9.0 ) cost: 273545.4233247841 Qd:0.002</t>
  </si>
  <si>
    <t>(67, 73, 1) :  d = 0.2 , z = (0.9,-8.95 ) cost: 273545.4233247841 Qd:0.30150000000000016</t>
  </si>
  <si>
    <t>[&lt;DesignedArc.DesignedArc object at 0x000002595B528FB0&gt;, &lt;DesignedArc.DesignedArc object at 0x000002595B528590&gt;, &lt;DesignedArc.DesignedArc object at 0x000002595B33B770&gt;, &lt;DesignedArc.DesignedArc object at 0x000002595B339D30&gt;, &lt;DesignedArc.DesignedArc object at 0x000002595B5281D0&gt;, &lt;DesignedArc.DesignedArc object at 0x000002595B33AB70&gt;, &lt;DesignedArc.DesignedArc object at 0x000002595B339220&gt;, &lt;DesignedArc.DesignedArc object at 0x000002595B338710&gt;, &lt;DesignedArc.DesignedArc object at 0x000002595B277B60&gt;, &lt;DesignedArc.DesignedArc object at 0x000002595B276ED0&gt;, &lt;DesignedArc.DesignedArc object at 0x000002595B276450&gt;, &lt;DesignedArc.DesignedArc object at 0x000002595B33A750&gt;, &lt;DesignedArc.DesignedArc object at 0x000002595B33B2C0&gt;, &lt;DesignedArc.DesignedArc object at 0x000002595B2774D0&gt;]</t>
  </si>
  <si>
    <t>Exported cost file for layout model to: c:\Users\anjal\OneDrive - IIT Delhi\Octodo\3. Git Repos\sewerresearch\sewerresearch\venu\Files\observed_layout_costs.csv</t>
  </si>
  <si>
    <t>Total computational time: 15.44 seconds</t>
  </si>
  <si>
    <t>0.025500000000000023</t>
  </si>
  <si>
    <t>422415.88796724565</t>
  </si>
  <si>
    <t>481278.8893974336</t>
  </si>
  <si>
    <t>686426.8323669605</t>
  </si>
  <si>
    <t>498255.2465586415</t>
  </si>
  <si>
    <t>(63, 67, 1) :  d = 0.2 , z = (0.9,-8.95 ) cost: 273545.4233247841 Qd:0.3047499999987196</t>
  </si>
  <si>
    <t>(67, 69, 2) :  d = 0.3 , z = (-8.95,-9.1 ) cost: 509406.2895703747 Qd:0.3270000000000002</t>
  </si>
  <si>
    <t>(69, 70, 2) :  d = 0.35 , z = (-9.1,-9.15 ) cost: 390832.57833070896 Qd:0.3400000000000002</t>
  </si>
  <si>
    <t>0.3047499999987196</t>
  </si>
  <si>
    <t>`</t>
  </si>
  <si>
    <t>0.3047500000000002</t>
  </si>
  <si>
    <t>(65, 69, 1) :  d = 0.2 , z = (0.9,-8.95 ) cost: 273545.4233247841 Qd:0.3047500000000002</t>
  </si>
  <si>
    <t>(69, 71, 2) :  d = 0.3 , z = (-8.95,-9.1 ) cost: 509406.2895703747 Qd:0.3270000000000002</t>
  </si>
  <si>
    <t>(71, 72, 2) :  d = 0.35 , z = (-9.1,-9.15 ) cost: 390832.57833070896 Qd:0.3400000000000002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</si>
</sst>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2" borderId="0" xfId="0" applyFill="1"/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2A1-8CB0-4009-886E-0CC14ED86A0C}">
  <dimension ref="A1:Q79"/>
  <sheetViews>
    <sheetView topLeftCell="A55" workbookViewId="0">
      <selection activeCell="F71" sqref="F71:G71"/>
    </sheetView>
  </sheetViews>
  <sheetFormatPr defaultRowHeight="14.4" x14ac:dyDescent="0.3"/>
  <cols>
    <col min="1" max="1" width="5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">
      <c r="A2">
        <v>1</v>
      </c>
      <c r="B2" s="2">
        <v>2</v>
      </c>
      <c r="C2" s="2">
        <v>1</v>
      </c>
      <c r="D2">
        <v>2.5</v>
      </c>
      <c r="E2">
        <v>5.0000000000000001E-3</v>
      </c>
      <c r="F2">
        <v>4</v>
      </c>
      <c r="G2">
        <v>3</v>
      </c>
      <c r="H2">
        <v>3.0000000000000001E-3</v>
      </c>
      <c r="I2">
        <v>1</v>
      </c>
      <c r="O2" s="2">
        <v>1</v>
      </c>
      <c r="P2" s="2">
        <v>1</v>
      </c>
      <c r="Q2" s="2">
        <v>2</v>
      </c>
    </row>
    <row r="3" spans="1:17" x14ac:dyDescent="0.3">
      <c r="A3">
        <v>2</v>
      </c>
      <c r="B3" s="2">
        <v>4</v>
      </c>
      <c r="C3" s="2">
        <v>1</v>
      </c>
      <c r="D3">
        <v>2.6</v>
      </c>
      <c r="E3">
        <v>6.0000000000000001E-3</v>
      </c>
      <c r="F3">
        <v>1</v>
      </c>
      <c r="G3">
        <v>2</v>
      </c>
      <c r="H3">
        <v>3.0000000000000001E-3</v>
      </c>
      <c r="I3">
        <v>1</v>
      </c>
      <c r="O3" s="2">
        <v>2</v>
      </c>
      <c r="P3" s="2">
        <v>1</v>
      </c>
      <c r="Q3" s="2">
        <v>4</v>
      </c>
    </row>
    <row r="4" spans="1:17" x14ac:dyDescent="0.3">
      <c r="A4">
        <v>3</v>
      </c>
      <c r="B4" s="2">
        <v>5.7</v>
      </c>
      <c r="C4" s="2">
        <v>1</v>
      </c>
      <c r="D4">
        <v>2.7</v>
      </c>
      <c r="E4">
        <v>5.0000000000000001E-3</v>
      </c>
      <c r="F4">
        <v>2</v>
      </c>
      <c r="G4">
        <v>55</v>
      </c>
      <c r="H4">
        <v>3.8E-3</v>
      </c>
      <c r="I4">
        <v>1</v>
      </c>
      <c r="O4" s="2">
        <v>3</v>
      </c>
      <c r="P4" s="2">
        <v>1</v>
      </c>
      <c r="Q4" s="2">
        <v>5.7</v>
      </c>
    </row>
    <row r="5" spans="1:17" x14ac:dyDescent="0.3">
      <c r="A5">
        <v>4</v>
      </c>
      <c r="B5" s="2">
        <v>7</v>
      </c>
      <c r="C5" s="2">
        <v>1</v>
      </c>
      <c r="D5">
        <v>2.8</v>
      </c>
      <c r="E5">
        <v>3.0000000000000001E-3</v>
      </c>
      <c r="F5">
        <v>1</v>
      </c>
      <c r="G5">
        <v>7</v>
      </c>
      <c r="H5">
        <v>3.0000000000000001E-3</v>
      </c>
      <c r="I5">
        <v>1</v>
      </c>
      <c r="O5" s="2">
        <v>4</v>
      </c>
      <c r="P5" s="2">
        <v>1</v>
      </c>
      <c r="Q5" s="2">
        <v>7</v>
      </c>
    </row>
    <row r="6" spans="1:17" x14ac:dyDescent="0.3">
      <c r="A6">
        <v>5</v>
      </c>
      <c r="B6" s="2">
        <v>2.5</v>
      </c>
      <c r="C6" s="2">
        <v>2</v>
      </c>
      <c r="D6">
        <v>2.6</v>
      </c>
      <c r="E6">
        <v>7.0000000000000001E-3</v>
      </c>
      <c r="F6">
        <v>19</v>
      </c>
      <c r="G6">
        <v>18</v>
      </c>
      <c r="H6">
        <v>3.0000000000000001E-3</v>
      </c>
      <c r="I6">
        <v>1</v>
      </c>
      <c r="O6" s="2">
        <v>5</v>
      </c>
      <c r="P6" s="2">
        <v>2</v>
      </c>
      <c r="Q6" s="2">
        <v>2.5</v>
      </c>
    </row>
    <row r="7" spans="1:17" x14ac:dyDescent="0.3">
      <c r="A7">
        <v>6</v>
      </c>
      <c r="B7" s="2">
        <v>5</v>
      </c>
      <c r="C7" s="2">
        <v>2</v>
      </c>
      <c r="D7">
        <v>2.6</v>
      </c>
      <c r="E7">
        <v>0.01</v>
      </c>
      <c r="F7">
        <v>5</v>
      </c>
      <c r="G7">
        <v>8</v>
      </c>
      <c r="H7">
        <v>3.0000000000000001E-3</v>
      </c>
      <c r="I7">
        <v>1</v>
      </c>
      <c r="O7" s="2">
        <v>6</v>
      </c>
      <c r="P7" s="2">
        <v>2</v>
      </c>
      <c r="Q7" s="2">
        <v>5</v>
      </c>
    </row>
    <row r="8" spans="1:17" x14ac:dyDescent="0.3">
      <c r="A8">
        <v>7</v>
      </c>
      <c r="B8" s="2">
        <v>1</v>
      </c>
      <c r="C8" s="2">
        <v>3</v>
      </c>
      <c r="D8">
        <v>2.2999999999999998</v>
      </c>
      <c r="E8">
        <v>8.9999999999999993E-3</v>
      </c>
      <c r="F8">
        <v>6</v>
      </c>
      <c r="G8">
        <v>11</v>
      </c>
      <c r="H8">
        <v>2.7000000000000001E-3</v>
      </c>
      <c r="I8">
        <v>1</v>
      </c>
      <c r="O8" s="2">
        <v>7</v>
      </c>
      <c r="P8" s="2">
        <v>3</v>
      </c>
      <c r="Q8" s="2">
        <v>1</v>
      </c>
    </row>
    <row r="9" spans="1:17" x14ac:dyDescent="0.3">
      <c r="A9">
        <v>8</v>
      </c>
      <c r="B9" s="2">
        <v>2</v>
      </c>
      <c r="C9" s="2">
        <v>3</v>
      </c>
      <c r="D9">
        <v>2.5</v>
      </c>
      <c r="E9">
        <v>0.01</v>
      </c>
      <c r="F9">
        <v>7</v>
      </c>
      <c r="G9">
        <v>8</v>
      </c>
      <c r="H9">
        <v>3.0000000000000001E-3</v>
      </c>
      <c r="I9">
        <v>1</v>
      </c>
      <c r="O9" s="2">
        <v>8</v>
      </c>
      <c r="P9" s="2">
        <v>3</v>
      </c>
      <c r="Q9" s="2">
        <v>2</v>
      </c>
    </row>
    <row r="10" spans="1:17" x14ac:dyDescent="0.3">
      <c r="A10">
        <v>9</v>
      </c>
      <c r="B10" s="2">
        <v>3</v>
      </c>
      <c r="C10" s="2">
        <v>3</v>
      </c>
      <c r="D10">
        <v>2.9</v>
      </c>
      <c r="E10">
        <v>3.0000000000000001E-3</v>
      </c>
      <c r="F10">
        <v>8</v>
      </c>
      <c r="G10">
        <v>9</v>
      </c>
      <c r="H10">
        <v>2.3999999999999998E-3</v>
      </c>
      <c r="I10">
        <v>1</v>
      </c>
      <c r="O10" s="2">
        <v>9</v>
      </c>
      <c r="P10" s="2">
        <v>3</v>
      </c>
      <c r="Q10" s="2">
        <v>3</v>
      </c>
    </row>
    <row r="11" spans="1:17" x14ac:dyDescent="0.3">
      <c r="A11">
        <v>10</v>
      </c>
      <c r="B11" s="2">
        <v>4</v>
      </c>
      <c r="C11" s="2">
        <v>3</v>
      </c>
      <c r="D11">
        <v>2.85</v>
      </c>
      <c r="E11">
        <v>0.01</v>
      </c>
      <c r="F11">
        <v>9</v>
      </c>
      <c r="G11">
        <v>15</v>
      </c>
      <c r="H11">
        <v>2E-3</v>
      </c>
      <c r="I11">
        <v>1</v>
      </c>
      <c r="O11" s="2">
        <v>10</v>
      </c>
      <c r="P11" s="2">
        <v>3</v>
      </c>
      <c r="Q11" s="2">
        <v>4</v>
      </c>
    </row>
    <row r="12" spans="1:17" x14ac:dyDescent="0.3">
      <c r="A12">
        <v>11</v>
      </c>
      <c r="B12" s="2">
        <v>5</v>
      </c>
      <c r="C12" s="2">
        <v>3</v>
      </c>
      <c r="D12">
        <v>2.8</v>
      </c>
      <c r="E12">
        <v>1.7000000000000001E-2</v>
      </c>
      <c r="F12">
        <v>10</v>
      </c>
      <c r="G12">
        <v>11</v>
      </c>
      <c r="H12">
        <v>3.0000000000000001E-3</v>
      </c>
      <c r="I12">
        <v>1</v>
      </c>
      <c r="O12" s="2">
        <v>11</v>
      </c>
      <c r="P12" s="2">
        <v>3</v>
      </c>
      <c r="Q12" s="2">
        <v>5</v>
      </c>
    </row>
    <row r="13" spans="1:17" x14ac:dyDescent="0.3">
      <c r="A13">
        <v>12</v>
      </c>
      <c r="B13" s="2">
        <v>6</v>
      </c>
      <c r="C13" s="2">
        <v>3</v>
      </c>
      <c r="D13">
        <v>2.8</v>
      </c>
      <c r="E13">
        <v>4.0000000000000001E-3</v>
      </c>
      <c r="F13">
        <v>10</v>
      </c>
      <c r="G13">
        <v>55</v>
      </c>
      <c r="H13">
        <v>3.0000000000000001E-3</v>
      </c>
      <c r="I13">
        <v>1</v>
      </c>
      <c r="O13" s="2">
        <v>12</v>
      </c>
      <c r="P13" s="2">
        <v>3</v>
      </c>
      <c r="Q13" s="2">
        <v>6</v>
      </c>
    </row>
    <row r="14" spans="1:17" x14ac:dyDescent="0.3">
      <c r="A14">
        <v>13</v>
      </c>
      <c r="B14" s="2">
        <v>1</v>
      </c>
      <c r="C14" s="2">
        <v>4</v>
      </c>
      <c r="D14">
        <v>2.2000000000000002</v>
      </c>
      <c r="E14">
        <v>7.0000000000000001E-3</v>
      </c>
      <c r="F14">
        <v>3</v>
      </c>
      <c r="G14">
        <v>2</v>
      </c>
      <c r="H14">
        <v>3.0000000000000001E-3</v>
      </c>
      <c r="I14">
        <v>1</v>
      </c>
      <c r="O14" s="2">
        <v>13</v>
      </c>
      <c r="P14" s="2">
        <v>4</v>
      </c>
      <c r="Q14" s="2">
        <v>1</v>
      </c>
    </row>
    <row r="15" spans="1:17" x14ac:dyDescent="0.3">
      <c r="A15">
        <v>14</v>
      </c>
      <c r="B15" s="2">
        <v>2</v>
      </c>
      <c r="C15" s="2">
        <v>4</v>
      </c>
      <c r="D15">
        <v>2.4</v>
      </c>
      <c r="E15">
        <v>8.0000000000000002E-3</v>
      </c>
      <c r="F15">
        <v>11</v>
      </c>
      <c r="G15">
        <v>17</v>
      </c>
      <c r="H15">
        <v>1.9E-3</v>
      </c>
      <c r="I15">
        <v>1</v>
      </c>
      <c r="O15" s="2">
        <v>14</v>
      </c>
      <c r="P15" s="2">
        <v>4</v>
      </c>
      <c r="Q15" s="2">
        <v>2</v>
      </c>
    </row>
    <row r="16" spans="1:17" x14ac:dyDescent="0.3">
      <c r="A16">
        <v>15</v>
      </c>
      <c r="B16" s="2">
        <v>3</v>
      </c>
      <c r="C16" s="2">
        <v>4</v>
      </c>
      <c r="D16">
        <v>2.5</v>
      </c>
      <c r="E16">
        <v>2E-3</v>
      </c>
      <c r="F16">
        <v>12</v>
      </c>
      <c r="G16">
        <v>11</v>
      </c>
      <c r="H16">
        <v>3.0000000000000001E-3</v>
      </c>
      <c r="I16">
        <v>1</v>
      </c>
      <c r="O16" s="2">
        <v>15</v>
      </c>
      <c r="P16" s="2">
        <v>4</v>
      </c>
      <c r="Q16" s="2">
        <v>3</v>
      </c>
    </row>
    <row r="17" spans="1:17" x14ac:dyDescent="0.3">
      <c r="A17">
        <v>16</v>
      </c>
      <c r="B17" s="2">
        <v>4</v>
      </c>
      <c r="C17" s="2">
        <v>4</v>
      </c>
      <c r="D17">
        <v>2.6</v>
      </c>
      <c r="E17">
        <v>3.0000000000000001E-3</v>
      </c>
      <c r="F17">
        <v>13</v>
      </c>
      <c r="G17">
        <v>7</v>
      </c>
      <c r="H17">
        <v>3.0000000000000001E-3</v>
      </c>
      <c r="I17">
        <v>1</v>
      </c>
      <c r="O17" s="2">
        <v>16</v>
      </c>
      <c r="P17" s="2">
        <v>4</v>
      </c>
      <c r="Q17" s="2">
        <v>4</v>
      </c>
    </row>
    <row r="18" spans="1:17" x14ac:dyDescent="0.3">
      <c r="A18">
        <v>17</v>
      </c>
      <c r="B18" s="2">
        <v>5</v>
      </c>
      <c r="C18" s="2">
        <v>4</v>
      </c>
      <c r="D18">
        <v>2.6</v>
      </c>
      <c r="E18">
        <v>6.0000000000000001E-3</v>
      </c>
      <c r="F18">
        <v>13</v>
      </c>
      <c r="G18">
        <v>18</v>
      </c>
      <c r="H18">
        <v>3.0000000000000001E-3</v>
      </c>
      <c r="I18">
        <v>1</v>
      </c>
      <c r="O18" s="2">
        <v>17</v>
      </c>
      <c r="P18" s="2">
        <v>4</v>
      </c>
      <c r="Q18" s="2">
        <v>5</v>
      </c>
    </row>
    <row r="19" spans="1:17" x14ac:dyDescent="0.3">
      <c r="A19">
        <v>18</v>
      </c>
      <c r="B19" s="2">
        <v>1</v>
      </c>
      <c r="C19" s="2">
        <v>5</v>
      </c>
      <c r="D19">
        <v>2.2000000000000002</v>
      </c>
      <c r="E19">
        <v>8.0000000000000002E-3</v>
      </c>
      <c r="F19">
        <v>14</v>
      </c>
      <c r="G19">
        <v>8</v>
      </c>
      <c r="H19">
        <v>3.0000000000000001E-3</v>
      </c>
      <c r="I19">
        <v>1</v>
      </c>
      <c r="O19" s="2">
        <v>18</v>
      </c>
      <c r="P19" s="2">
        <v>5</v>
      </c>
      <c r="Q19" s="2">
        <v>1</v>
      </c>
    </row>
    <row r="20" spans="1:17" x14ac:dyDescent="0.3">
      <c r="A20">
        <v>19</v>
      </c>
      <c r="B20" s="2">
        <v>2</v>
      </c>
      <c r="C20" s="2">
        <v>5</v>
      </c>
      <c r="D20">
        <v>2.4</v>
      </c>
      <c r="E20">
        <v>6.0000000000000001E-3</v>
      </c>
      <c r="F20">
        <v>14</v>
      </c>
      <c r="G20">
        <v>19</v>
      </c>
      <c r="H20">
        <v>3.0000000000000001E-3</v>
      </c>
      <c r="I20">
        <v>1</v>
      </c>
      <c r="O20" s="2">
        <v>19</v>
      </c>
      <c r="P20" s="2">
        <v>5</v>
      </c>
      <c r="Q20" s="2">
        <v>2</v>
      </c>
    </row>
    <row r="21" spans="1:17" x14ac:dyDescent="0.3">
      <c r="A21">
        <v>20</v>
      </c>
      <c r="B21" s="2">
        <v>3</v>
      </c>
      <c r="C21" s="2">
        <v>5</v>
      </c>
      <c r="D21">
        <v>2.5</v>
      </c>
      <c r="E21">
        <v>1.0999999999999999E-2</v>
      </c>
      <c r="F21">
        <v>15</v>
      </c>
      <c r="G21">
        <v>20</v>
      </c>
      <c r="H21">
        <v>2E-3</v>
      </c>
      <c r="I21">
        <v>1</v>
      </c>
      <c r="O21" s="2">
        <v>20</v>
      </c>
      <c r="P21" s="2">
        <v>5</v>
      </c>
      <c r="Q21" s="2">
        <v>3</v>
      </c>
    </row>
    <row r="22" spans="1:17" x14ac:dyDescent="0.3">
      <c r="A22">
        <v>21</v>
      </c>
      <c r="B22" s="2">
        <v>4</v>
      </c>
      <c r="C22" s="2">
        <v>5</v>
      </c>
      <c r="D22">
        <v>2.4500000000000002</v>
      </c>
      <c r="E22">
        <v>1.2999999999999999E-2</v>
      </c>
      <c r="F22">
        <v>16</v>
      </c>
      <c r="G22">
        <v>10</v>
      </c>
      <c r="H22">
        <v>3.0000000000000001E-3</v>
      </c>
      <c r="I22">
        <v>1</v>
      </c>
      <c r="O22" s="2">
        <v>21</v>
      </c>
      <c r="P22" s="2">
        <v>5</v>
      </c>
      <c r="Q22" s="2">
        <v>4</v>
      </c>
    </row>
    <row r="23" spans="1:17" x14ac:dyDescent="0.3">
      <c r="A23">
        <v>22</v>
      </c>
      <c r="B23" s="2">
        <v>5</v>
      </c>
      <c r="C23" s="2">
        <v>5</v>
      </c>
      <c r="D23">
        <v>2.4</v>
      </c>
      <c r="E23">
        <v>1.2E-2</v>
      </c>
      <c r="F23">
        <v>19</v>
      </c>
      <c r="G23">
        <v>20</v>
      </c>
      <c r="H23">
        <v>3.0000000000000001E-3</v>
      </c>
      <c r="I23">
        <v>1</v>
      </c>
      <c r="O23" s="2">
        <v>22</v>
      </c>
      <c r="P23" s="2">
        <v>5</v>
      </c>
      <c r="Q23" s="2">
        <v>5</v>
      </c>
    </row>
    <row r="24" spans="1:17" x14ac:dyDescent="0.3">
      <c r="A24">
        <v>23</v>
      </c>
      <c r="B24" s="2">
        <v>6</v>
      </c>
      <c r="C24" s="2">
        <v>5</v>
      </c>
      <c r="D24">
        <v>2.35</v>
      </c>
      <c r="E24">
        <v>1.0999999999999999E-2</v>
      </c>
      <c r="F24">
        <v>17</v>
      </c>
      <c r="G24">
        <v>22</v>
      </c>
      <c r="H24">
        <v>3.0000000000000001E-3</v>
      </c>
      <c r="I24">
        <v>1</v>
      </c>
      <c r="O24" s="2">
        <v>23</v>
      </c>
      <c r="P24" s="2">
        <v>5</v>
      </c>
      <c r="Q24" s="2">
        <v>6</v>
      </c>
    </row>
    <row r="25" spans="1:17" x14ac:dyDescent="0.3">
      <c r="A25">
        <v>24</v>
      </c>
      <c r="B25" s="2">
        <v>7</v>
      </c>
      <c r="C25" s="2">
        <v>5</v>
      </c>
      <c r="D25">
        <v>2.2999999999999998</v>
      </c>
      <c r="E25">
        <v>7.0000000000000001E-3</v>
      </c>
      <c r="F25">
        <v>18</v>
      </c>
      <c r="G25">
        <v>25</v>
      </c>
      <c r="H25">
        <v>3.0000000000000001E-3</v>
      </c>
      <c r="I25">
        <v>1</v>
      </c>
      <c r="O25" s="2">
        <v>24</v>
      </c>
      <c r="P25" s="2">
        <v>5</v>
      </c>
      <c r="Q25" s="2">
        <v>7</v>
      </c>
    </row>
    <row r="26" spans="1:17" x14ac:dyDescent="0.3">
      <c r="A26">
        <v>25</v>
      </c>
      <c r="B26" s="2">
        <v>1</v>
      </c>
      <c r="C26" s="2">
        <v>6</v>
      </c>
      <c r="D26">
        <v>2.1</v>
      </c>
      <c r="E26">
        <v>6.0000000000000001E-3</v>
      </c>
      <c r="F26">
        <v>10</v>
      </c>
      <c r="G26">
        <v>9</v>
      </c>
      <c r="H26">
        <v>3.0000000000000001E-3</v>
      </c>
      <c r="I26">
        <v>1</v>
      </c>
      <c r="O26" s="2">
        <v>25</v>
      </c>
      <c r="P26" s="2">
        <v>6</v>
      </c>
      <c r="Q26" s="2">
        <v>1</v>
      </c>
    </row>
    <row r="27" spans="1:17" x14ac:dyDescent="0.3">
      <c r="A27">
        <v>26</v>
      </c>
      <c r="B27" s="2">
        <v>2</v>
      </c>
      <c r="C27" s="2">
        <v>6</v>
      </c>
      <c r="D27">
        <v>2.4</v>
      </c>
      <c r="E27">
        <v>2E-3</v>
      </c>
      <c r="F27">
        <v>26</v>
      </c>
      <c r="G27">
        <v>19</v>
      </c>
      <c r="H27">
        <v>3.0000000000000001E-3</v>
      </c>
      <c r="I27">
        <v>1</v>
      </c>
      <c r="O27" s="2">
        <v>26</v>
      </c>
      <c r="P27" s="2">
        <v>6</v>
      </c>
      <c r="Q27" s="2">
        <v>2</v>
      </c>
    </row>
    <row r="28" spans="1:17" x14ac:dyDescent="0.3">
      <c r="A28">
        <v>27</v>
      </c>
      <c r="B28" s="2">
        <v>3</v>
      </c>
      <c r="C28" s="2">
        <v>6</v>
      </c>
      <c r="D28">
        <v>2.4</v>
      </c>
      <c r="E28">
        <v>8.9999999999999993E-3</v>
      </c>
      <c r="F28">
        <v>20</v>
      </c>
      <c r="G28">
        <v>27</v>
      </c>
      <c r="H28">
        <v>1.5E-3</v>
      </c>
      <c r="I28">
        <v>1</v>
      </c>
      <c r="O28" s="2">
        <v>27</v>
      </c>
      <c r="P28" s="2">
        <v>6</v>
      </c>
      <c r="Q28" s="2">
        <v>3</v>
      </c>
    </row>
    <row r="29" spans="1:17" x14ac:dyDescent="0.3">
      <c r="A29">
        <v>28</v>
      </c>
      <c r="B29" s="2">
        <v>4</v>
      </c>
      <c r="C29" s="2">
        <v>6</v>
      </c>
      <c r="D29">
        <v>2.25</v>
      </c>
      <c r="E29">
        <v>4.0000000000000001E-3</v>
      </c>
      <c r="F29">
        <v>21</v>
      </c>
      <c r="G29">
        <v>20</v>
      </c>
      <c r="H29">
        <v>3.0000000000000001E-3</v>
      </c>
      <c r="I29">
        <v>1</v>
      </c>
      <c r="O29" s="2">
        <v>28</v>
      </c>
      <c r="P29" s="2">
        <v>6</v>
      </c>
      <c r="Q29" s="2">
        <v>4</v>
      </c>
    </row>
    <row r="30" spans="1:17" x14ac:dyDescent="0.3">
      <c r="A30">
        <v>29</v>
      </c>
      <c r="B30" s="2">
        <v>5</v>
      </c>
      <c r="C30" s="2">
        <v>6</v>
      </c>
      <c r="D30">
        <v>2.2000000000000002</v>
      </c>
      <c r="E30">
        <v>6.0000000000000001E-3</v>
      </c>
      <c r="F30">
        <v>21</v>
      </c>
      <c r="G30">
        <v>28</v>
      </c>
      <c r="H30">
        <v>3.0000000000000001E-3</v>
      </c>
      <c r="I30">
        <v>1</v>
      </c>
      <c r="O30" s="2">
        <v>29</v>
      </c>
      <c r="P30" s="2">
        <v>6</v>
      </c>
      <c r="Q30" s="2">
        <v>5</v>
      </c>
    </row>
    <row r="31" spans="1:17" x14ac:dyDescent="0.3">
      <c r="A31">
        <v>30</v>
      </c>
      <c r="B31" s="2">
        <v>1</v>
      </c>
      <c r="C31" s="2">
        <v>7</v>
      </c>
      <c r="D31">
        <v>2.1</v>
      </c>
      <c r="E31">
        <v>4.0000000000000001E-3</v>
      </c>
      <c r="F31">
        <v>22</v>
      </c>
      <c r="G31">
        <v>23</v>
      </c>
      <c r="H31">
        <v>1.5E-3</v>
      </c>
      <c r="I31">
        <v>1</v>
      </c>
      <c r="O31" s="2">
        <v>30</v>
      </c>
      <c r="P31" s="2">
        <v>7</v>
      </c>
      <c r="Q31" s="2">
        <v>1</v>
      </c>
    </row>
    <row r="32" spans="1:17" x14ac:dyDescent="0.3">
      <c r="A32">
        <v>31</v>
      </c>
      <c r="B32" s="2">
        <v>2</v>
      </c>
      <c r="C32" s="2">
        <v>7</v>
      </c>
      <c r="D32">
        <v>2</v>
      </c>
      <c r="E32">
        <v>4.0000000000000001E-3</v>
      </c>
      <c r="F32">
        <v>16</v>
      </c>
      <c r="G32">
        <v>21</v>
      </c>
      <c r="H32">
        <v>3.0000000000000001E-3</v>
      </c>
      <c r="I32">
        <v>1</v>
      </c>
      <c r="O32" s="2">
        <v>31</v>
      </c>
      <c r="P32" s="2">
        <v>7</v>
      </c>
      <c r="Q32" s="2">
        <v>2</v>
      </c>
    </row>
    <row r="33" spans="1:17" x14ac:dyDescent="0.3">
      <c r="A33">
        <v>32</v>
      </c>
      <c r="B33" s="2">
        <v>3</v>
      </c>
      <c r="C33" s="2">
        <v>7</v>
      </c>
      <c r="D33">
        <v>2</v>
      </c>
      <c r="E33">
        <v>8.0000000000000002E-3</v>
      </c>
      <c r="F33">
        <v>23</v>
      </c>
      <c r="G33">
        <v>35</v>
      </c>
      <c r="H33">
        <v>1.4E-3</v>
      </c>
      <c r="I33">
        <v>1</v>
      </c>
      <c r="O33" s="2">
        <v>32</v>
      </c>
      <c r="P33" s="2">
        <v>7</v>
      </c>
      <c r="Q33" s="2">
        <v>3</v>
      </c>
    </row>
    <row r="34" spans="1:17" x14ac:dyDescent="0.3">
      <c r="A34">
        <v>33</v>
      </c>
      <c r="B34" s="2">
        <v>4</v>
      </c>
      <c r="C34" s="2">
        <v>7</v>
      </c>
      <c r="D34">
        <v>1.95</v>
      </c>
      <c r="E34">
        <v>6.0000000000000001E-3</v>
      </c>
      <c r="F34">
        <v>22</v>
      </c>
      <c r="G34">
        <v>21</v>
      </c>
      <c r="H34">
        <v>3.0000000000000001E-3</v>
      </c>
      <c r="I34">
        <v>1</v>
      </c>
      <c r="O34" s="2">
        <v>33</v>
      </c>
      <c r="P34" s="2">
        <v>7</v>
      </c>
      <c r="Q34" s="2">
        <v>4</v>
      </c>
    </row>
    <row r="35" spans="1:17" x14ac:dyDescent="0.3">
      <c r="A35">
        <v>34</v>
      </c>
      <c r="B35" s="2">
        <v>5</v>
      </c>
      <c r="C35" s="2">
        <v>7</v>
      </c>
      <c r="D35">
        <v>2</v>
      </c>
      <c r="E35">
        <v>0.01</v>
      </c>
      <c r="F35">
        <v>33</v>
      </c>
      <c r="G35">
        <v>32</v>
      </c>
      <c r="H35">
        <v>3.0000000000000001E-3</v>
      </c>
      <c r="I35">
        <v>1</v>
      </c>
      <c r="O35" s="2">
        <v>34</v>
      </c>
      <c r="P35" s="2">
        <v>7</v>
      </c>
      <c r="Q35" s="2">
        <v>5</v>
      </c>
    </row>
    <row r="36" spans="1:17" x14ac:dyDescent="0.3">
      <c r="A36">
        <v>35</v>
      </c>
      <c r="B36" s="2">
        <v>6</v>
      </c>
      <c r="C36" s="2">
        <v>7</v>
      </c>
      <c r="D36">
        <v>1.95</v>
      </c>
      <c r="E36">
        <v>0.01</v>
      </c>
      <c r="F36">
        <v>25</v>
      </c>
      <c r="G36">
        <v>30</v>
      </c>
      <c r="H36">
        <v>3.8999999999999998E-3</v>
      </c>
      <c r="I36">
        <v>1</v>
      </c>
      <c r="O36" s="2">
        <v>35</v>
      </c>
      <c r="P36" s="2">
        <v>7</v>
      </c>
      <c r="Q36" s="2">
        <v>6</v>
      </c>
    </row>
    <row r="37" spans="1:17" x14ac:dyDescent="0.3">
      <c r="A37">
        <v>36</v>
      </c>
      <c r="B37" s="2">
        <v>7</v>
      </c>
      <c r="C37" s="2">
        <v>7</v>
      </c>
      <c r="D37">
        <v>1.9</v>
      </c>
      <c r="E37">
        <v>1.0999999999999999E-2</v>
      </c>
      <c r="F37">
        <v>49</v>
      </c>
      <c r="G37">
        <v>50</v>
      </c>
      <c r="H37">
        <v>3.0000000000000001E-3</v>
      </c>
      <c r="I37">
        <v>1</v>
      </c>
      <c r="O37" s="2">
        <v>36</v>
      </c>
      <c r="P37" s="2">
        <v>7</v>
      </c>
      <c r="Q37" s="2">
        <v>8</v>
      </c>
    </row>
    <row r="38" spans="1:17" x14ac:dyDescent="0.3">
      <c r="A38">
        <v>37</v>
      </c>
      <c r="B38" s="2">
        <v>5</v>
      </c>
      <c r="C38" s="2">
        <v>8</v>
      </c>
      <c r="D38">
        <v>2.0499999999999998</v>
      </c>
      <c r="E38">
        <v>3.0000000000000001E-3</v>
      </c>
      <c r="F38">
        <v>27</v>
      </c>
      <c r="G38">
        <v>32</v>
      </c>
      <c r="H38">
        <v>1.4E-3</v>
      </c>
      <c r="I38">
        <v>1</v>
      </c>
      <c r="O38" s="2">
        <v>37</v>
      </c>
      <c r="P38" s="2">
        <v>8</v>
      </c>
      <c r="Q38" s="2">
        <v>5</v>
      </c>
    </row>
    <row r="39" spans="1:17" x14ac:dyDescent="0.3">
      <c r="A39">
        <v>38</v>
      </c>
      <c r="B39" s="2">
        <v>1</v>
      </c>
      <c r="C39" s="2">
        <v>9</v>
      </c>
      <c r="D39">
        <v>2.2000000000000002</v>
      </c>
      <c r="E39">
        <v>3.0000000000000001E-3</v>
      </c>
      <c r="F39">
        <v>28</v>
      </c>
      <c r="G39">
        <v>33</v>
      </c>
      <c r="H39">
        <v>3.8999999999999998E-3</v>
      </c>
      <c r="I39">
        <v>1</v>
      </c>
      <c r="O39" s="2">
        <v>38</v>
      </c>
      <c r="P39" s="2">
        <v>9</v>
      </c>
      <c r="Q39" s="2">
        <v>1</v>
      </c>
    </row>
    <row r="40" spans="1:17" x14ac:dyDescent="0.3">
      <c r="A40">
        <v>39</v>
      </c>
      <c r="B40" s="2">
        <v>2</v>
      </c>
      <c r="C40" s="2">
        <v>9</v>
      </c>
      <c r="D40">
        <v>2.1</v>
      </c>
      <c r="E40">
        <v>2E-3</v>
      </c>
      <c r="F40">
        <v>29</v>
      </c>
      <c r="G40">
        <v>34</v>
      </c>
      <c r="H40">
        <v>3.0000000000000001E-3</v>
      </c>
      <c r="I40">
        <v>1</v>
      </c>
      <c r="O40" s="2">
        <v>39</v>
      </c>
      <c r="P40" s="2">
        <v>9</v>
      </c>
      <c r="Q40" s="2">
        <v>2</v>
      </c>
    </row>
    <row r="41" spans="1:17" x14ac:dyDescent="0.3">
      <c r="A41">
        <v>40</v>
      </c>
      <c r="B41" s="2">
        <v>3</v>
      </c>
      <c r="C41" s="2">
        <v>9</v>
      </c>
      <c r="D41">
        <v>2</v>
      </c>
      <c r="E41">
        <v>6.0000000000000001E-3</v>
      </c>
      <c r="F41">
        <v>29</v>
      </c>
      <c r="G41">
        <v>22</v>
      </c>
      <c r="H41">
        <v>3.0000000000000001E-3</v>
      </c>
      <c r="I41">
        <v>1</v>
      </c>
      <c r="O41" s="2">
        <v>40</v>
      </c>
      <c r="P41" s="2">
        <v>9</v>
      </c>
      <c r="Q41" s="2">
        <v>3</v>
      </c>
    </row>
    <row r="42" spans="1:17" x14ac:dyDescent="0.3">
      <c r="A42">
        <v>41</v>
      </c>
      <c r="B42" s="2">
        <v>4</v>
      </c>
      <c r="C42" s="2">
        <v>9</v>
      </c>
      <c r="D42">
        <v>2.1</v>
      </c>
      <c r="E42">
        <v>6.0000000000000001E-3</v>
      </c>
      <c r="F42">
        <v>30</v>
      </c>
      <c r="G42">
        <v>31</v>
      </c>
      <c r="H42">
        <v>3.3999999999999998E-3</v>
      </c>
      <c r="I42">
        <v>1</v>
      </c>
      <c r="O42" s="2">
        <v>41</v>
      </c>
      <c r="P42" s="2">
        <v>9</v>
      </c>
      <c r="Q42" s="2">
        <v>4</v>
      </c>
    </row>
    <row r="43" spans="1:17" x14ac:dyDescent="0.3">
      <c r="A43">
        <v>42</v>
      </c>
      <c r="B43" s="2">
        <v>5</v>
      </c>
      <c r="C43" s="2">
        <v>9</v>
      </c>
      <c r="D43">
        <v>2.1</v>
      </c>
      <c r="E43">
        <v>0.01</v>
      </c>
      <c r="F43">
        <v>31</v>
      </c>
      <c r="G43">
        <v>32</v>
      </c>
      <c r="H43">
        <v>3.2000000000000002E-3</v>
      </c>
      <c r="I43">
        <v>1</v>
      </c>
      <c r="O43" s="2">
        <v>42</v>
      </c>
      <c r="P43" s="2">
        <v>9</v>
      </c>
      <c r="Q43" s="2">
        <v>5</v>
      </c>
    </row>
    <row r="44" spans="1:17" x14ac:dyDescent="0.3">
      <c r="A44">
        <v>43</v>
      </c>
      <c r="B44" s="2">
        <v>6</v>
      </c>
      <c r="C44" s="2">
        <v>9</v>
      </c>
      <c r="D44">
        <v>2</v>
      </c>
      <c r="E44">
        <v>3.0000000000000001E-3</v>
      </c>
      <c r="F44">
        <v>31</v>
      </c>
      <c r="G44">
        <v>39</v>
      </c>
      <c r="H44">
        <v>3.0000000000000001E-3</v>
      </c>
      <c r="I44">
        <v>1</v>
      </c>
      <c r="O44" s="2">
        <v>43</v>
      </c>
      <c r="P44" s="2">
        <v>9</v>
      </c>
      <c r="Q44" s="2">
        <v>6</v>
      </c>
    </row>
    <row r="45" spans="1:17" x14ac:dyDescent="0.3">
      <c r="A45">
        <v>44</v>
      </c>
      <c r="B45" s="2">
        <v>7</v>
      </c>
      <c r="C45" s="2">
        <v>9</v>
      </c>
      <c r="D45">
        <v>2</v>
      </c>
      <c r="E45">
        <v>5.0000000000000001E-3</v>
      </c>
      <c r="F45">
        <v>31</v>
      </c>
      <c r="G45">
        <v>26</v>
      </c>
      <c r="H45">
        <v>3.0000000000000001E-3</v>
      </c>
      <c r="I45">
        <v>1</v>
      </c>
      <c r="O45" s="2">
        <v>44</v>
      </c>
      <c r="P45" s="2">
        <v>9</v>
      </c>
      <c r="Q45" s="2">
        <v>7</v>
      </c>
    </row>
    <row r="46" spans="1:17" x14ac:dyDescent="0.3">
      <c r="A46">
        <v>45</v>
      </c>
      <c r="B46" s="2">
        <v>2</v>
      </c>
      <c r="C46" s="2">
        <v>10</v>
      </c>
      <c r="D46">
        <v>2.2000000000000002</v>
      </c>
      <c r="E46">
        <v>5.0000000000000001E-3</v>
      </c>
      <c r="F46">
        <v>32</v>
      </c>
      <c r="G46">
        <v>40</v>
      </c>
      <c r="H46">
        <v>1.5E-3</v>
      </c>
      <c r="I46">
        <v>1</v>
      </c>
      <c r="O46" s="2">
        <v>45</v>
      </c>
      <c r="P46" s="2">
        <v>10</v>
      </c>
      <c r="Q46" s="2">
        <v>2</v>
      </c>
    </row>
    <row r="47" spans="1:17" x14ac:dyDescent="0.3">
      <c r="A47">
        <v>46</v>
      </c>
      <c r="B47" s="2">
        <v>3</v>
      </c>
      <c r="C47" s="2">
        <v>10</v>
      </c>
      <c r="D47">
        <v>2.1</v>
      </c>
      <c r="E47">
        <v>3.0000000000000001E-3</v>
      </c>
      <c r="F47">
        <v>37</v>
      </c>
      <c r="G47">
        <v>34</v>
      </c>
      <c r="H47">
        <v>3.3E-3</v>
      </c>
      <c r="I47">
        <v>1</v>
      </c>
      <c r="O47" s="2">
        <v>46</v>
      </c>
      <c r="P47" s="2">
        <v>10</v>
      </c>
      <c r="Q47" s="2">
        <v>3</v>
      </c>
    </row>
    <row r="48" spans="1:17" x14ac:dyDescent="0.3">
      <c r="A48">
        <v>47</v>
      </c>
      <c r="B48" s="2">
        <v>4</v>
      </c>
      <c r="C48" s="2">
        <v>10</v>
      </c>
      <c r="D48">
        <v>2.2000000000000002</v>
      </c>
      <c r="E48">
        <v>7.0000000000000001E-3</v>
      </c>
      <c r="F48">
        <v>33</v>
      </c>
      <c r="G48">
        <v>34</v>
      </c>
      <c r="H48">
        <v>3.0000000000000001E-3</v>
      </c>
      <c r="I48">
        <v>1</v>
      </c>
      <c r="O48" s="2">
        <v>47</v>
      </c>
      <c r="P48" s="2">
        <v>10</v>
      </c>
      <c r="Q48" s="2">
        <v>4</v>
      </c>
    </row>
    <row r="49" spans="1:17" x14ac:dyDescent="0.3">
      <c r="A49">
        <v>48</v>
      </c>
      <c r="B49" s="2">
        <v>5</v>
      </c>
      <c r="C49" s="2">
        <v>10</v>
      </c>
      <c r="D49">
        <v>2.1</v>
      </c>
      <c r="E49">
        <v>8.0000000000000002E-3</v>
      </c>
      <c r="F49">
        <v>48</v>
      </c>
      <c r="G49">
        <v>42</v>
      </c>
      <c r="H49">
        <v>3.0000000000000001E-3</v>
      </c>
      <c r="I49">
        <v>1</v>
      </c>
      <c r="O49" s="2">
        <v>48</v>
      </c>
      <c r="P49" s="2">
        <v>10</v>
      </c>
      <c r="Q49" s="2">
        <v>5</v>
      </c>
    </row>
    <row r="50" spans="1:17" x14ac:dyDescent="0.3">
      <c r="A50">
        <v>49</v>
      </c>
      <c r="B50" s="2">
        <v>6</v>
      </c>
      <c r="C50" s="2">
        <v>10</v>
      </c>
      <c r="D50">
        <v>2.1</v>
      </c>
      <c r="E50">
        <v>0</v>
      </c>
      <c r="F50">
        <v>34</v>
      </c>
      <c r="G50">
        <v>35</v>
      </c>
      <c r="H50">
        <v>3.0000000000000001E-3</v>
      </c>
      <c r="I50">
        <v>1</v>
      </c>
      <c r="O50" s="2">
        <v>49</v>
      </c>
      <c r="P50" s="2">
        <v>10</v>
      </c>
      <c r="Q50" s="2">
        <v>6</v>
      </c>
    </row>
    <row r="51" spans="1:17" x14ac:dyDescent="0.3">
      <c r="A51">
        <v>50</v>
      </c>
      <c r="B51" s="2">
        <v>7</v>
      </c>
      <c r="C51" s="2">
        <v>10</v>
      </c>
      <c r="D51">
        <v>2.1</v>
      </c>
      <c r="E51">
        <v>0</v>
      </c>
      <c r="F51">
        <v>35</v>
      </c>
      <c r="G51">
        <v>43</v>
      </c>
      <c r="H51">
        <v>1.4E-3</v>
      </c>
      <c r="I51">
        <v>1</v>
      </c>
      <c r="O51" s="2">
        <v>50</v>
      </c>
      <c r="P51" s="2">
        <v>10</v>
      </c>
      <c r="Q51" s="2">
        <v>7</v>
      </c>
    </row>
    <row r="52" spans="1:17" x14ac:dyDescent="0.3">
      <c r="A52">
        <v>51</v>
      </c>
      <c r="B52" s="2">
        <v>3</v>
      </c>
      <c r="C52" s="2">
        <v>11</v>
      </c>
      <c r="D52">
        <v>2.2000000000000002</v>
      </c>
      <c r="E52">
        <v>3.0000000000000001E-3</v>
      </c>
      <c r="F52">
        <v>36</v>
      </c>
      <c r="G52">
        <v>35</v>
      </c>
      <c r="H52">
        <v>2.8999999999999998E-3</v>
      </c>
      <c r="I52">
        <v>1</v>
      </c>
      <c r="O52" s="2">
        <v>51</v>
      </c>
      <c r="P52" s="2">
        <v>11</v>
      </c>
      <c r="Q52" s="2">
        <v>3</v>
      </c>
    </row>
    <row r="53" spans="1:17" x14ac:dyDescent="0.3">
      <c r="A53">
        <v>52</v>
      </c>
      <c r="B53" s="2">
        <v>4</v>
      </c>
      <c r="C53" s="2">
        <v>11</v>
      </c>
      <c r="D53">
        <v>2.2000000000000002</v>
      </c>
      <c r="E53">
        <v>0</v>
      </c>
      <c r="F53">
        <v>44</v>
      </c>
      <c r="G53">
        <v>36</v>
      </c>
      <c r="H53">
        <v>3.0000000000000001E-3</v>
      </c>
      <c r="I53">
        <v>1</v>
      </c>
      <c r="O53" s="2">
        <v>52</v>
      </c>
      <c r="P53" s="2">
        <v>11</v>
      </c>
      <c r="Q53" s="2">
        <v>4</v>
      </c>
    </row>
    <row r="54" spans="1:17" x14ac:dyDescent="0.3">
      <c r="A54">
        <v>53</v>
      </c>
      <c r="B54" s="2">
        <v>5</v>
      </c>
      <c r="C54" s="2">
        <v>11</v>
      </c>
      <c r="D54">
        <v>2.2000000000000002</v>
      </c>
      <c r="E54">
        <v>0</v>
      </c>
      <c r="F54">
        <v>38</v>
      </c>
      <c r="G54">
        <v>45</v>
      </c>
      <c r="H54">
        <v>3.0000000000000001E-3</v>
      </c>
      <c r="I54">
        <v>1</v>
      </c>
      <c r="O54" s="2">
        <v>53</v>
      </c>
      <c r="P54" s="2">
        <v>11</v>
      </c>
      <c r="Q54" s="2">
        <v>5</v>
      </c>
    </row>
    <row r="55" spans="1:17" x14ac:dyDescent="0.3">
      <c r="A55">
        <v>54</v>
      </c>
      <c r="B55" s="2">
        <v>6</v>
      </c>
      <c r="C55" s="2">
        <v>11</v>
      </c>
      <c r="D55">
        <v>2.25</v>
      </c>
      <c r="E55">
        <v>0</v>
      </c>
      <c r="F55">
        <v>39</v>
      </c>
      <c r="G55">
        <v>40</v>
      </c>
      <c r="H55">
        <v>3.0000000000000001E-3</v>
      </c>
      <c r="I55">
        <v>1</v>
      </c>
      <c r="O55" s="2">
        <v>54</v>
      </c>
      <c r="P55" s="2">
        <v>11</v>
      </c>
      <c r="Q55" s="2">
        <v>6</v>
      </c>
    </row>
    <row r="56" spans="1:17" x14ac:dyDescent="0.3">
      <c r="A56">
        <v>55</v>
      </c>
      <c r="B56" s="2">
        <v>7</v>
      </c>
      <c r="C56" s="2">
        <v>11</v>
      </c>
      <c r="D56">
        <v>2.7</v>
      </c>
      <c r="E56">
        <v>0</v>
      </c>
      <c r="F56">
        <v>39</v>
      </c>
      <c r="G56">
        <v>38</v>
      </c>
      <c r="H56">
        <v>3.0000000000000001E-3</v>
      </c>
      <c r="I56">
        <v>1</v>
      </c>
      <c r="O56" s="2">
        <v>55</v>
      </c>
      <c r="P56" s="2">
        <v>11</v>
      </c>
      <c r="Q56" s="2">
        <v>7</v>
      </c>
    </row>
    <row r="57" spans="1:17" x14ac:dyDescent="0.3">
      <c r="A57">
        <v>56</v>
      </c>
      <c r="B57" s="2">
        <v>7</v>
      </c>
      <c r="C57" s="2">
        <v>12</v>
      </c>
      <c r="D57">
        <v>2.2000000000000002</v>
      </c>
      <c r="E57">
        <v>1.2999999999999999E-2</v>
      </c>
      <c r="F57">
        <v>40</v>
      </c>
      <c r="G57">
        <v>41</v>
      </c>
      <c r="H57">
        <v>1.4E-3</v>
      </c>
      <c r="I57">
        <v>1</v>
      </c>
      <c r="O57" s="2">
        <v>56</v>
      </c>
      <c r="P57" s="2">
        <v>12</v>
      </c>
      <c r="Q57" s="2">
        <v>7</v>
      </c>
    </row>
    <row r="58" spans="1:17" x14ac:dyDescent="0.3">
      <c r="A58">
        <v>57</v>
      </c>
      <c r="B58" s="2">
        <v>7</v>
      </c>
      <c r="C58" s="2">
        <v>13</v>
      </c>
      <c r="D58">
        <v>2.2000000000000002</v>
      </c>
      <c r="E58">
        <v>-0.34</v>
      </c>
      <c r="F58">
        <v>41</v>
      </c>
      <c r="G58">
        <v>42</v>
      </c>
      <c r="H58">
        <v>1.2999999999999999E-3</v>
      </c>
      <c r="I58">
        <v>1</v>
      </c>
      <c r="O58" s="2">
        <v>57</v>
      </c>
      <c r="P58" s="2">
        <v>13</v>
      </c>
      <c r="Q58" s="2">
        <v>7</v>
      </c>
    </row>
    <row r="59" spans="1:17" x14ac:dyDescent="0.3">
      <c r="F59">
        <v>43</v>
      </c>
      <c r="G59">
        <v>44</v>
      </c>
      <c r="H59">
        <v>3.0000000000000001E-3</v>
      </c>
      <c r="I59">
        <v>1</v>
      </c>
    </row>
    <row r="60" spans="1:17" x14ac:dyDescent="0.3">
      <c r="F60">
        <v>42</v>
      </c>
      <c r="G60">
        <v>43</v>
      </c>
      <c r="H60">
        <v>1.1999999999999999E-3</v>
      </c>
      <c r="I60">
        <v>1</v>
      </c>
    </row>
    <row r="61" spans="1:17" x14ac:dyDescent="0.3">
      <c r="F61">
        <v>43</v>
      </c>
      <c r="G61">
        <v>49</v>
      </c>
      <c r="H61">
        <v>1.5E-3</v>
      </c>
      <c r="I61">
        <v>1</v>
      </c>
    </row>
    <row r="62" spans="1:17" x14ac:dyDescent="0.3">
      <c r="F62">
        <v>23</v>
      </c>
      <c r="G62">
        <v>24</v>
      </c>
      <c r="H62">
        <v>3.0000000000000001E-3</v>
      </c>
      <c r="I62">
        <v>1</v>
      </c>
    </row>
    <row r="63" spans="1:17" x14ac:dyDescent="0.3">
      <c r="F63">
        <v>24</v>
      </c>
      <c r="G63">
        <v>36</v>
      </c>
      <c r="H63">
        <v>3.0000000000000001E-3</v>
      </c>
      <c r="I63">
        <v>1</v>
      </c>
    </row>
    <row r="64" spans="1:17" x14ac:dyDescent="0.3">
      <c r="F64">
        <v>45</v>
      </c>
      <c r="G64">
        <v>51</v>
      </c>
      <c r="H64">
        <v>3.0000000000000001E-3</v>
      </c>
      <c r="I64">
        <v>1</v>
      </c>
    </row>
    <row r="65" spans="6:9" x14ac:dyDescent="0.3">
      <c r="F65">
        <v>48</v>
      </c>
      <c r="G65">
        <v>47</v>
      </c>
      <c r="H65">
        <v>3.0000000000000001E-3</v>
      </c>
      <c r="I65">
        <v>1</v>
      </c>
    </row>
    <row r="66" spans="6:9" x14ac:dyDescent="0.3">
      <c r="F66">
        <v>47</v>
      </c>
      <c r="G66">
        <v>52</v>
      </c>
      <c r="H66">
        <v>4.0000000000000001E-3</v>
      </c>
      <c r="I66">
        <v>1</v>
      </c>
    </row>
    <row r="67" spans="6:9" x14ac:dyDescent="0.3">
      <c r="F67">
        <v>46</v>
      </c>
      <c r="G67">
        <v>47</v>
      </c>
      <c r="H67">
        <v>3.0000000000000001E-3</v>
      </c>
      <c r="I67">
        <v>1</v>
      </c>
    </row>
    <row r="68" spans="6:9" x14ac:dyDescent="0.3">
      <c r="F68">
        <v>41</v>
      </c>
      <c r="G68">
        <v>47</v>
      </c>
      <c r="H68">
        <v>3.0000000000000001E-3</v>
      </c>
      <c r="I68">
        <v>1</v>
      </c>
    </row>
    <row r="69" spans="6:9" x14ac:dyDescent="0.3">
      <c r="F69">
        <v>49</v>
      </c>
      <c r="G69">
        <v>54</v>
      </c>
      <c r="H69">
        <v>1.5E-3</v>
      </c>
      <c r="I69">
        <v>1</v>
      </c>
    </row>
    <row r="70" spans="6:9" x14ac:dyDescent="0.3">
      <c r="F70">
        <v>46</v>
      </c>
      <c r="G70">
        <v>39</v>
      </c>
      <c r="H70">
        <v>3.0000000000000001E-3</v>
      </c>
      <c r="I70">
        <v>1</v>
      </c>
    </row>
    <row r="71" spans="6:9" x14ac:dyDescent="0.3">
      <c r="F71">
        <v>50</v>
      </c>
      <c r="G71">
        <v>44</v>
      </c>
      <c r="H71">
        <v>3.0000000000000001E-3</v>
      </c>
      <c r="I71">
        <v>1</v>
      </c>
    </row>
    <row r="72" spans="6:9" x14ac:dyDescent="0.3">
      <c r="F72">
        <v>51</v>
      </c>
      <c r="G72">
        <v>52</v>
      </c>
      <c r="H72">
        <v>3.0000000000000001E-3</v>
      </c>
      <c r="I72">
        <v>1</v>
      </c>
    </row>
    <row r="73" spans="6:9" x14ac:dyDescent="0.3">
      <c r="F73">
        <v>52</v>
      </c>
      <c r="G73">
        <v>53</v>
      </c>
      <c r="H73">
        <v>2.8999999999999998E-3</v>
      </c>
      <c r="I73">
        <v>1</v>
      </c>
    </row>
    <row r="74" spans="6:9" x14ac:dyDescent="0.3">
      <c r="F74">
        <v>53</v>
      </c>
      <c r="G74">
        <v>54</v>
      </c>
      <c r="H74">
        <v>2.8999999999999998E-3</v>
      </c>
      <c r="I74">
        <v>1</v>
      </c>
    </row>
    <row r="75" spans="6:9" x14ac:dyDescent="0.3">
      <c r="F75">
        <v>54</v>
      </c>
      <c r="G75">
        <v>56</v>
      </c>
      <c r="H75">
        <v>1.8E-3</v>
      </c>
      <c r="I75">
        <v>1</v>
      </c>
    </row>
    <row r="76" spans="6:9" x14ac:dyDescent="0.3">
      <c r="F76">
        <v>55</v>
      </c>
      <c r="G76">
        <v>6</v>
      </c>
      <c r="H76">
        <v>3.5000000000000001E-3</v>
      </c>
      <c r="I76">
        <v>1</v>
      </c>
    </row>
    <row r="77" spans="6:9" x14ac:dyDescent="0.3">
      <c r="F77">
        <v>55</v>
      </c>
      <c r="G77">
        <v>5</v>
      </c>
      <c r="H77">
        <v>3.0000000000000001E-3</v>
      </c>
      <c r="I77">
        <v>1</v>
      </c>
    </row>
    <row r="78" spans="6:9" x14ac:dyDescent="0.3">
      <c r="F78">
        <v>56</v>
      </c>
      <c r="G78">
        <v>50</v>
      </c>
      <c r="H78">
        <v>3.0000000000000001E-3</v>
      </c>
      <c r="I78">
        <v>1</v>
      </c>
    </row>
    <row r="79" spans="6:9" x14ac:dyDescent="0.3">
      <c r="F79">
        <v>56</v>
      </c>
      <c r="G79">
        <v>57</v>
      </c>
      <c r="H79">
        <v>1.9E-3</v>
      </c>
      <c r="I7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8F67-8985-4578-8469-0C409F4E571C}">
  <dimension ref="A1:G17"/>
  <sheetViews>
    <sheetView workbookViewId="0">
      <selection activeCell="B19" sqref="B19"/>
    </sheetView>
  </sheetViews>
  <sheetFormatPr defaultRowHeight="14.4" x14ac:dyDescent="0.3"/>
  <cols>
    <col min="1" max="1" width="13" customWidth="1"/>
    <col min="2" max="2" width="27.109375" bestFit="1" customWidth="1"/>
    <col min="3" max="3" width="27.109375" customWidth="1"/>
    <col min="4" max="4" width="21" style="4" bestFit="1" customWidth="1"/>
    <col min="5" max="5" width="29.44140625" style="4" customWidth="1"/>
    <col min="6" max="6" width="13.33203125" customWidth="1"/>
  </cols>
  <sheetData>
    <row r="1" spans="1:7" x14ac:dyDescent="0.3">
      <c r="A1" s="3"/>
      <c r="B1" s="3"/>
      <c r="C1" s="3"/>
      <c r="D1" s="4" t="s">
        <v>16</v>
      </c>
      <c r="E1" s="4" t="s">
        <v>15</v>
      </c>
    </row>
    <row r="2" spans="1:7" x14ac:dyDescent="0.3">
      <c r="A2" s="3" t="s">
        <v>10</v>
      </c>
      <c r="B2" s="3" t="s">
        <v>23</v>
      </c>
      <c r="C2" s="3" t="s">
        <v>17</v>
      </c>
      <c r="D2" s="4">
        <v>273545.42332478397</v>
      </c>
      <c r="E2" s="4">
        <v>2.4999999999999901E-3</v>
      </c>
    </row>
    <row r="3" spans="1:7" x14ac:dyDescent="0.3">
      <c r="A3" s="3" t="s">
        <v>11</v>
      </c>
      <c r="B3" s="3" t="s">
        <v>25</v>
      </c>
      <c r="C3" s="3" t="s">
        <v>18</v>
      </c>
      <c r="D3" s="4">
        <v>794025.98817518796</v>
      </c>
      <c r="E3" s="4">
        <v>2.4999999999999901E-3</v>
      </c>
    </row>
    <row r="4" spans="1:7" x14ac:dyDescent="0.3">
      <c r="A4" s="3" t="s">
        <v>12</v>
      </c>
      <c r="B4" s="3" t="s">
        <v>24</v>
      </c>
      <c r="C4" s="3" t="s">
        <v>19</v>
      </c>
      <c r="D4" s="4">
        <v>409972.140398686</v>
      </c>
      <c r="E4" s="4">
        <v>0.34</v>
      </c>
    </row>
    <row r="5" spans="1:7" x14ac:dyDescent="0.3">
      <c r="A5" s="3" t="s">
        <v>13</v>
      </c>
      <c r="B5" s="3" t="s">
        <v>23</v>
      </c>
      <c r="C5" s="3" t="s">
        <v>20</v>
      </c>
      <c r="D5" s="4">
        <v>273545.42332478397</v>
      </c>
      <c r="E5" s="4">
        <v>0.32450000000000001</v>
      </c>
    </row>
    <row r="6" spans="1:7" x14ac:dyDescent="0.3">
      <c r="A6" s="3" t="s">
        <v>14</v>
      </c>
      <c r="B6" s="3" t="s">
        <v>22</v>
      </c>
      <c r="C6" s="3" t="s">
        <v>21</v>
      </c>
      <c r="D6" s="4">
        <v>509406.28957037401</v>
      </c>
      <c r="E6" s="4">
        <v>0.32450000000000001</v>
      </c>
    </row>
    <row r="7" spans="1:7" x14ac:dyDescent="0.3">
      <c r="A7" t="s">
        <v>9</v>
      </c>
    </row>
    <row r="12" spans="1:7" x14ac:dyDescent="0.3">
      <c r="A12" s="3" t="s">
        <v>26</v>
      </c>
      <c r="B12" s="3" t="s">
        <v>27</v>
      </c>
      <c r="C12" t="s">
        <v>28</v>
      </c>
      <c r="D12" t="s">
        <v>29</v>
      </c>
      <c r="E12" t="s">
        <v>30</v>
      </c>
      <c r="F12" t="s">
        <v>37</v>
      </c>
      <c r="G12" t="s">
        <v>38</v>
      </c>
    </row>
    <row r="13" spans="1:7" x14ac:dyDescent="0.3">
      <c r="A13" s="3">
        <v>44</v>
      </c>
      <c r="B13" s="3">
        <v>50</v>
      </c>
      <c r="C13">
        <v>1</v>
      </c>
      <c r="D13">
        <v>2.4999999999999901E-3</v>
      </c>
      <c r="E13" s="5" t="s">
        <v>31</v>
      </c>
      <c r="F13">
        <f>E13/D13</f>
        <v>109418169.32991402</v>
      </c>
    </row>
    <row r="14" spans="1:7" x14ac:dyDescent="0.3">
      <c r="A14" s="3">
        <v>50</v>
      </c>
      <c r="B14" s="3">
        <v>56</v>
      </c>
      <c r="C14">
        <v>1</v>
      </c>
      <c r="D14">
        <v>2.4999999999999901E-3</v>
      </c>
      <c r="E14" s="5" t="s">
        <v>32</v>
      </c>
      <c r="F14">
        <f t="shared" ref="F14:F17" si="0">E14/D14</f>
        <v>317610395.27007645</v>
      </c>
    </row>
    <row r="15" spans="1:7" x14ac:dyDescent="0.3">
      <c r="A15" s="3">
        <v>56</v>
      </c>
      <c r="B15" s="3">
        <v>57</v>
      </c>
      <c r="C15">
        <v>1</v>
      </c>
      <c r="D15" s="5" t="s">
        <v>33</v>
      </c>
      <c r="E15" s="5" t="s">
        <v>34</v>
      </c>
      <c r="F15">
        <f t="shared" si="0"/>
        <v>1205800.4129373117</v>
      </c>
    </row>
    <row r="16" spans="1:7" x14ac:dyDescent="0.3">
      <c r="A16" s="3">
        <v>49</v>
      </c>
      <c r="B16" s="3">
        <v>54</v>
      </c>
      <c r="C16">
        <v>1</v>
      </c>
      <c r="D16" s="5" t="s">
        <v>35</v>
      </c>
      <c r="E16" s="5" t="s">
        <v>31</v>
      </c>
      <c r="F16">
        <f t="shared" si="0"/>
        <v>842975.11039995053</v>
      </c>
    </row>
    <row r="17" spans="1:6" x14ac:dyDescent="0.3">
      <c r="A17" s="3">
        <v>54</v>
      </c>
      <c r="B17" s="3">
        <v>56</v>
      </c>
      <c r="C17">
        <v>1</v>
      </c>
      <c r="D17" s="5" t="s">
        <v>35</v>
      </c>
      <c r="E17" s="5" t="s">
        <v>36</v>
      </c>
      <c r="F17">
        <f t="shared" si="0"/>
        <v>1569819.0741768074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9C1C-6FA3-4620-836C-8FC93A6C9C80}">
  <dimension ref="A1:D79"/>
  <sheetViews>
    <sheetView topLeftCell="A61" workbookViewId="0">
      <selection activeCell="B71" sqref="B71"/>
    </sheetView>
  </sheetViews>
  <sheetFormatPr defaultRowHeight="14.4" x14ac:dyDescent="0.3"/>
  <cols>
    <col min="3" max="3" width="10.88671875" customWidth="1"/>
    <col min="4" max="4" width="13.21875" bestFit="1" customWidth="1"/>
  </cols>
  <sheetData>
    <row r="1" spans="1:4" x14ac:dyDescent="0.3">
      <c r="A1" s="1" t="s">
        <v>26</v>
      </c>
      <c r="B1" s="1" t="s">
        <v>27</v>
      </c>
      <c r="C1" s="1" t="s">
        <v>86</v>
      </c>
      <c r="D1" s="1" t="s">
        <v>87</v>
      </c>
    </row>
    <row r="2" spans="1:4" x14ac:dyDescent="0.3">
      <c r="A2">
        <v>4</v>
      </c>
      <c r="B2">
        <v>3</v>
      </c>
      <c r="C2">
        <v>3.0000000000000001E-3</v>
      </c>
      <c r="D2">
        <v>1</v>
      </c>
    </row>
    <row r="3" spans="1:4" x14ac:dyDescent="0.3">
      <c r="A3">
        <v>1</v>
      </c>
      <c r="B3">
        <v>2</v>
      </c>
      <c r="C3">
        <v>3.0000000000000001E-3</v>
      </c>
      <c r="D3">
        <v>1</v>
      </c>
    </row>
    <row r="4" spans="1:4" x14ac:dyDescent="0.3">
      <c r="A4">
        <v>2</v>
      </c>
      <c r="B4">
        <v>55</v>
      </c>
      <c r="C4">
        <v>3.8E-3</v>
      </c>
      <c r="D4">
        <v>1</v>
      </c>
    </row>
    <row r="5" spans="1:4" x14ac:dyDescent="0.3">
      <c r="A5">
        <v>1</v>
      </c>
      <c r="B5">
        <v>7</v>
      </c>
      <c r="C5">
        <v>3.0000000000000001E-3</v>
      </c>
      <c r="D5">
        <v>1</v>
      </c>
    </row>
    <row r="6" spans="1:4" x14ac:dyDescent="0.3">
      <c r="A6">
        <v>19</v>
      </c>
      <c r="B6">
        <v>18</v>
      </c>
      <c r="C6">
        <v>3.0000000000000001E-3</v>
      </c>
      <c r="D6">
        <v>1</v>
      </c>
    </row>
    <row r="7" spans="1:4" x14ac:dyDescent="0.3">
      <c r="A7">
        <v>5</v>
      </c>
      <c r="B7">
        <v>8</v>
      </c>
      <c r="C7">
        <v>3.0000000000000001E-3</v>
      </c>
      <c r="D7">
        <v>1</v>
      </c>
    </row>
    <row r="8" spans="1:4" x14ac:dyDescent="0.3">
      <c r="A8">
        <v>6</v>
      </c>
      <c r="B8">
        <v>11</v>
      </c>
      <c r="C8">
        <v>2.7000000000000001E-3</v>
      </c>
      <c r="D8">
        <v>1</v>
      </c>
    </row>
    <row r="9" spans="1:4" x14ac:dyDescent="0.3">
      <c r="A9">
        <v>7</v>
      </c>
      <c r="B9">
        <v>8</v>
      </c>
      <c r="C9">
        <v>3.0000000000000001E-3</v>
      </c>
      <c r="D9">
        <v>1</v>
      </c>
    </row>
    <row r="10" spans="1:4" x14ac:dyDescent="0.3">
      <c r="A10">
        <v>8</v>
      </c>
      <c r="B10">
        <v>9</v>
      </c>
      <c r="C10">
        <v>2.3999999999999998E-3</v>
      </c>
      <c r="D10">
        <v>1</v>
      </c>
    </row>
    <row r="11" spans="1:4" x14ac:dyDescent="0.3">
      <c r="A11">
        <v>9</v>
      </c>
      <c r="B11">
        <v>15</v>
      </c>
      <c r="C11">
        <v>2E-3</v>
      </c>
      <c r="D11">
        <v>1</v>
      </c>
    </row>
    <row r="12" spans="1:4" x14ac:dyDescent="0.3">
      <c r="A12">
        <v>10</v>
      </c>
      <c r="B12">
        <v>11</v>
      </c>
      <c r="C12">
        <v>3.0000000000000001E-3</v>
      </c>
      <c r="D12">
        <v>1</v>
      </c>
    </row>
    <row r="13" spans="1:4" x14ac:dyDescent="0.3">
      <c r="A13">
        <v>10</v>
      </c>
      <c r="B13">
        <v>55</v>
      </c>
      <c r="C13">
        <v>3.0000000000000001E-3</v>
      </c>
      <c r="D13">
        <v>1</v>
      </c>
    </row>
    <row r="14" spans="1:4" x14ac:dyDescent="0.3">
      <c r="A14">
        <v>3</v>
      </c>
      <c r="B14">
        <v>2</v>
      </c>
      <c r="C14">
        <v>3.0000000000000001E-3</v>
      </c>
      <c r="D14">
        <v>1</v>
      </c>
    </row>
    <row r="15" spans="1:4" x14ac:dyDescent="0.3">
      <c r="A15">
        <v>11</v>
      </c>
      <c r="B15">
        <v>17</v>
      </c>
      <c r="C15">
        <v>1.9E-3</v>
      </c>
      <c r="D15">
        <v>1</v>
      </c>
    </row>
    <row r="16" spans="1:4" x14ac:dyDescent="0.3">
      <c r="A16">
        <v>12</v>
      </c>
      <c r="B16">
        <v>11</v>
      </c>
      <c r="C16">
        <v>3.0000000000000001E-3</v>
      </c>
      <c r="D16">
        <v>1</v>
      </c>
    </row>
    <row r="17" spans="1:4" x14ac:dyDescent="0.3">
      <c r="A17">
        <v>13</v>
      </c>
      <c r="B17">
        <v>7</v>
      </c>
      <c r="C17">
        <v>3.0000000000000001E-3</v>
      </c>
      <c r="D17">
        <v>1</v>
      </c>
    </row>
    <row r="18" spans="1:4" x14ac:dyDescent="0.3">
      <c r="A18">
        <v>13</v>
      </c>
      <c r="B18">
        <v>18</v>
      </c>
      <c r="C18">
        <v>3.0000000000000001E-3</v>
      </c>
      <c r="D18">
        <v>1</v>
      </c>
    </row>
    <row r="19" spans="1:4" x14ac:dyDescent="0.3">
      <c r="A19">
        <v>14</v>
      </c>
      <c r="B19">
        <v>8</v>
      </c>
      <c r="C19">
        <v>3.0000000000000001E-3</v>
      </c>
      <c r="D19">
        <v>1</v>
      </c>
    </row>
    <row r="20" spans="1:4" x14ac:dyDescent="0.3">
      <c r="A20">
        <v>14</v>
      </c>
      <c r="B20">
        <v>19</v>
      </c>
      <c r="C20">
        <v>3.0000000000000001E-3</v>
      </c>
      <c r="D20">
        <v>1</v>
      </c>
    </row>
    <row r="21" spans="1:4" x14ac:dyDescent="0.3">
      <c r="A21">
        <v>15</v>
      </c>
      <c r="B21">
        <v>20</v>
      </c>
      <c r="C21">
        <v>2E-3</v>
      </c>
      <c r="D21">
        <v>1</v>
      </c>
    </row>
    <row r="22" spans="1:4" x14ac:dyDescent="0.3">
      <c r="A22">
        <v>16</v>
      </c>
      <c r="B22">
        <v>10</v>
      </c>
      <c r="C22">
        <v>3.0000000000000001E-3</v>
      </c>
      <c r="D22">
        <v>1</v>
      </c>
    </row>
    <row r="23" spans="1:4" x14ac:dyDescent="0.3">
      <c r="A23">
        <v>19</v>
      </c>
      <c r="B23">
        <v>20</v>
      </c>
      <c r="C23">
        <v>3.0000000000000001E-3</v>
      </c>
      <c r="D23">
        <v>1</v>
      </c>
    </row>
    <row r="24" spans="1:4" x14ac:dyDescent="0.3">
      <c r="A24">
        <v>17</v>
      </c>
      <c r="B24">
        <v>22</v>
      </c>
      <c r="C24">
        <v>3.0000000000000001E-3</v>
      </c>
      <c r="D24">
        <v>1</v>
      </c>
    </row>
    <row r="25" spans="1:4" x14ac:dyDescent="0.3">
      <c r="A25">
        <v>18</v>
      </c>
      <c r="B25">
        <v>25</v>
      </c>
      <c r="C25">
        <v>3.0000000000000001E-3</v>
      </c>
      <c r="D25">
        <v>1</v>
      </c>
    </row>
    <row r="26" spans="1:4" x14ac:dyDescent="0.3">
      <c r="A26">
        <v>10</v>
      </c>
      <c r="B26">
        <v>9</v>
      </c>
      <c r="C26">
        <v>3.0000000000000001E-3</v>
      </c>
      <c r="D26">
        <v>1</v>
      </c>
    </row>
    <row r="27" spans="1:4" x14ac:dyDescent="0.3">
      <c r="A27">
        <v>26</v>
      </c>
      <c r="B27">
        <v>19</v>
      </c>
      <c r="C27">
        <v>3.0000000000000001E-3</v>
      </c>
      <c r="D27">
        <v>1</v>
      </c>
    </row>
    <row r="28" spans="1:4" x14ac:dyDescent="0.3">
      <c r="A28">
        <v>20</v>
      </c>
      <c r="B28">
        <v>27</v>
      </c>
      <c r="C28">
        <v>1.5E-3</v>
      </c>
      <c r="D28">
        <v>1</v>
      </c>
    </row>
    <row r="29" spans="1:4" x14ac:dyDescent="0.3">
      <c r="A29">
        <v>21</v>
      </c>
      <c r="B29">
        <v>20</v>
      </c>
      <c r="C29">
        <v>3.0000000000000001E-3</v>
      </c>
      <c r="D29">
        <v>1</v>
      </c>
    </row>
    <row r="30" spans="1:4" x14ac:dyDescent="0.3">
      <c r="A30">
        <v>21</v>
      </c>
      <c r="B30">
        <v>28</v>
      </c>
      <c r="C30">
        <v>3.0000000000000001E-3</v>
      </c>
      <c r="D30">
        <v>1</v>
      </c>
    </row>
    <row r="31" spans="1:4" x14ac:dyDescent="0.3">
      <c r="A31">
        <v>22</v>
      </c>
      <c r="B31">
        <v>23</v>
      </c>
      <c r="C31">
        <v>1.5E-3</v>
      </c>
      <c r="D31">
        <v>1</v>
      </c>
    </row>
    <row r="32" spans="1:4" x14ac:dyDescent="0.3">
      <c r="A32">
        <v>16</v>
      </c>
      <c r="B32">
        <v>21</v>
      </c>
      <c r="C32">
        <v>3.0000000000000001E-3</v>
      </c>
      <c r="D32">
        <v>1</v>
      </c>
    </row>
    <row r="33" spans="1:4" x14ac:dyDescent="0.3">
      <c r="A33">
        <v>23</v>
      </c>
      <c r="B33">
        <v>35</v>
      </c>
      <c r="C33">
        <v>1.4E-3</v>
      </c>
      <c r="D33">
        <v>1</v>
      </c>
    </row>
    <row r="34" spans="1:4" x14ac:dyDescent="0.3">
      <c r="A34">
        <v>22</v>
      </c>
      <c r="B34">
        <v>21</v>
      </c>
      <c r="C34">
        <v>3.0000000000000001E-3</v>
      </c>
      <c r="D34">
        <v>1</v>
      </c>
    </row>
    <row r="35" spans="1:4" x14ac:dyDescent="0.3">
      <c r="A35">
        <v>33</v>
      </c>
      <c r="B35">
        <v>32</v>
      </c>
      <c r="C35">
        <v>3.0000000000000001E-3</v>
      </c>
      <c r="D35">
        <v>1</v>
      </c>
    </row>
    <row r="36" spans="1:4" x14ac:dyDescent="0.3">
      <c r="A36">
        <v>25</v>
      </c>
      <c r="B36">
        <v>30</v>
      </c>
      <c r="C36">
        <v>3.8999999999999998E-3</v>
      </c>
      <c r="D36">
        <v>1</v>
      </c>
    </row>
    <row r="37" spans="1:4" x14ac:dyDescent="0.3">
      <c r="A37">
        <v>49</v>
      </c>
      <c r="B37">
        <v>50</v>
      </c>
      <c r="C37">
        <v>3.0000000000000001E-3</v>
      </c>
      <c r="D37">
        <v>1</v>
      </c>
    </row>
    <row r="38" spans="1:4" x14ac:dyDescent="0.3">
      <c r="A38">
        <v>27</v>
      </c>
      <c r="B38">
        <v>32</v>
      </c>
      <c r="C38">
        <v>1.4E-3</v>
      </c>
      <c r="D38">
        <v>1</v>
      </c>
    </row>
    <row r="39" spans="1:4" x14ac:dyDescent="0.3">
      <c r="A39">
        <v>28</v>
      </c>
      <c r="B39">
        <v>33</v>
      </c>
      <c r="C39">
        <v>3.8999999999999998E-3</v>
      </c>
      <c r="D39">
        <v>1</v>
      </c>
    </row>
    <row r="40" spans="1:4" x14ac:dyDescent="0.3">
      <c r="A40">
        <v>29</v>
      </c>
      <c r="B40">
        <v>34</v>
      </c>
      <c r="C40">
        <v>3.0000000000000001E-3</v>
      </c>
      <c r="D40">
        <v>1</v>
      </c>
    </row>
    <row r="41" spans="1:4" x14ac:dyDescent="0.3">
      <c r="A41">
        <v>29</v>
      </c>
      <c r="B41">
        <v>22</v>
      </c>
      <c r="C41">
        <v>3.0000000000000001E-3</v>
      </c>
      <c r="D41">
        <v>1</v>
      </c>
    </row>
    <row r="42" spans="1:4" x14ac:dyDescent="0.3">
      <c r="A42">
        <v>30</v>
      </c>
      <c r="B42">
        <v>31</v>
      </c>
      <c r="C42">
        <v>3.3999999999999998E-3</v>
      </c>
      <c r="D42">
        <v>1</v>
      </c>
    </row>
    <row r="43" spans="1:4" x14ac:dyDescent="0.3">
      <c r="A43">
        <v>31</v>
      </c>
      <c r="B43">
        <v>32</v>
      </c>
      <c r="C43">
        <v>3.2000000000000002E-3</v>
      </c>
      <c r="D43">
        <v>1</v>
      </c>
    </row>
    <row r="44" spans="1:4" x14ac:dyDescent="0.3">
      <c r="A44">
        <v>31</v>
      </c>
      <c r="B44">
        <v>39</v>
      </c>
      <c r="C44">
        <v>3.0000000000000001E-3</v>
      </c>
      <c r="D44">
        <v>1</v>
      </c>
    </row>
    <row r="45" spans="1:4" x14ac:dyDescent="0.3">
      <c r="A45">
        <v>31</v>
      </c>
      <c r="B45">
        <v>26</v>
      </c>
      <c r="C45">
        <v>3.0000000000000001E-3</v>
      </c>
      <c r="D45">
        <v>1</v>
      </c>
    </row>
    <row r="46" spans="1:4" x14ac:dyDescent="0.3">
      <c r="A46">
        <v>32</v>
      </c>
      <c r="B46">
        <v>40</v>
      </c>
      <c r="C46">
        <v>1.5E-3</v>
      </c>
      <c r="D46">
        <v>1</v>
      </c>
    </row>
    <row r="47" spans="1:4" x14ac:dyDescent="0.3">
      <c r="A47">
        <v>37</v>
      </c>
      <c r="B47">
        <v>34</v>
      </c>
      <c r="C47">
        <v>3.3E-3</v>
      </c>
      <c r="D47">
        <v>1</v>
      </c>
    </row>
    <row r="48" spans="1:4" x14ac:dyDescent="0.3">
      <c r="A48">
        <v>33</v>
      </c>
      <c r="B48">
        <v>34</v>
      </c>
      <c r="C48">
        <v>3.0000000000000001E-3</v>
      </c>
      <c r="D48">
        <v>1</v>
      </c>
    </row>
    <row r="49" spans="1:4" x14ac:dyDescent="0.3">
      <c r="A49">
        <v>48</v>
      </c>
      <c r="B49">
        <v>42</v>
      </c>
      <c r="C49">
        <v>3.0000000000000001E-3</v>
      </c>
      <c r="D49">
        <v>1</v>
      </c>
    </row>
    <row r="50" spans="1:4" x14ac:dyDescent="0.3">
      <c r="A50">
        <v>34</v>
      </c>
      <c r="B50">
        <v>35</v>
      </c>
      <c r="C50">
        <v>3.0000000000000001E-3</v>
      </c>
      <c r="D50">
        <v>1</v>
      </c>
    </row>
    <row r="51" spans="1:4" x14ac:dyDescent="0.3">
      <c r="A51">
        <v>35</v>
      </c>
      <c r="B51">
        <v>43</v>
      </c>
      <c r="C51">
        <v>1.4E-3</v>
      </c>
      <c r="D51">
        <v>1</v>
      </c>
    </row>
    <row r="52" spans="1:4" x14ac:dyDescent="0.3">
      <c r="A52">
        <v>36</v>
      </c>
      <c r="B52">
        <v>35</v>
      </c>
      <c r="C52">
        <v>2.8999999999999998E-3</v>
      </c>
      <c r="D52">
        <v>1</v>
      </c>
    </row>
    <row r="53" spans="1:4" x14ac:dyDescent="0.3">
      <c r="A53">
        <v>44</v>
      </c>
      <c r="B53">
        <v>36</v>
      </c>
      <c r="C53">
        <v>3.0000000000000001E-3</v>
      </c>
      <c r="D53">
        <v>1</v>
      </c>
    </row>
    <row r="54" spans="1:4" x14ac:dyDescent="0.3">
      <c r="A54">
        <v>38</v>
      </c>
      <c r="B54">
        <v>45</v>
      </c>
      <c r="C54">
        <v>3.0000000000000001E-3</v>
      </c>
      <c r="D54">
        <v>1</v>
      </c>
    </row>
    <row r="55" spans="1:4" x14ac:dyDescent="0.3">
      <c r="A55">
        <v>39</v>
      </c>
      <c r="B55">
        <v>40</v>
      </c>
      <c r="C55">
        <v>3.0000000000000001E-3</v>
      </c>
      <c r="D55">
        <v>1</v>
      </c>
    </row>
    <row r="56" spans="1:4" x14ac:dyDescent="0.3">
      <c r="A56">
        <v>39</v>
      </c>
      <c r="B56">
        <v>38</v>
      </c>
      <c r="C56">
        <v>3.0000000000000001E-3</v>
      </c>
      <c r="D56">
        <v>1</v>
      </c>
    </row>
    <row r="57" spans="1:4" x14ac:dyDescent="0.3">
      <c r="A57">
        <v>40</v>
      </c>
      <c r="B57">
        <v>41</v>
      </c>
      <c r="C57">
        <v>1.4E-3</v>
      </c>
      <c r="D57">
        <v>1</v>
      </c>
    </row>
    <row r="58" spans="1:4" x14ac:dyDescent="0.3">
      <c r="A58">
        <v>41</v>
      </c>
      <c r="B58">
        <v>42</v>
      </c>
      <c r="C58">
        <v>1.2999999999999999E-3</v>
      </c>
      <c r="D58">
        <v>1</v>
      </c>
    </row>
    <row r="59" spans="1:4" x14ac:dyDescent="0.3">
      <c r="A59">
        <v>43</v>
      </c>
      <c r="B59">
        <v>44</v>
      </c>
      <c r="C59">
        <v>3.0000000000000001E-3</v>
      </c>
      <c r="D59">
        <v>1</v>
      </c>
    </row>
    <row r="60" spans="1:4" x14ac:dyDescent="0.3">
      <c r="A60">
        <v>42</v>
      </c>
      <c r="B60">
        <v>43</v>
      </c>
      <c r="C60">
        <v>1.1999999999999999E-3</v>
      </c>
      <c r="D60">
        <v>1</v>
      </c>
    </row>
    <row r="61" spans="1:4" x14ac:dyDescent="0.3">
      <c r="A61">
        <v>43</v>
      </c>
      <c r="B61">
        <v>49</v>
      </c>
      <c r="C61">
        <v>1.5E-3</v>
      </c>
      <c r="D61">
        <v>1</v>
      </c>
    </row>
    <row r="62" spans="1:4" x14ac:dyDescent="0.3">
      <c r="A62">
        <v>23</v>
      </c>
      <c r="B62">
        <v>24</v>
      </c>
      <c r="C62">
        <v>3.0000000000000001E-3</v>
      </c>
      <c r="D62">
        <v>1</v>
      </c>
    </row>
    <row r="63" spans="1:4" x14ac:dyDescent="0.3">
      <c r="A63">
        <v>24</v>
      </c>
      <c r="B63">
        <v>36</v>
      </c>
      <c r="C63">
        <v>3.0000000000000001E-3</v>
      </c>
      <c r="D63">
        <v>1</v>
      </c>
    </row>
    <row r="64" spans="1:4" x14ac:dyDescent="0.3">
      <c r="A64">
        <v>45</v>
      </c>
      <c r="B64">
        <v>51</v>
      </c>
      <c r="C64">
        <v>3.0000000000000001E-3</v>
      </c>
      <c r="D64">
        <v>1</v>
      </c>
    </row>
    <row r="65" spans="1:4" x14ac:dyDescent="0.3">
      <c r="A65">
        <v>48</v>
      </c>
      <c r="B65">
        <v>47</v>
      </c>
      <c r="C65">
        <v>3.0000000000000001E-3</v>
      </c>
      <c r="D65">
        <v>1</v>
      </c>
    </row>
    <row r="66" spans="1:4" x14ac:dyDescent="0.3">
      <c r="A66">
        <v>47</v>
      </c>
      <c r="B66">
        <v>52</v>
      </c>
      <c r="C66">
        <v>4.0000000000000001E-3</v>
      </c>
      <c r="D66">
        <v>1</v>
      </c>
    </row>
    <row r="67" spans="1:4" x14ac:dyDescent="0.3">
      <c r="A67">
        <v>46</v>
      </c>
      <c r="B67">
        <v>47</v>
      </c>
      <c r="C67">
        <v>3.0000000000000001E-3</v>
      </c>
      <c r="D67">
        <v>1</v>
      </c>
    </row>
    <row r="68" spans="1:4" x14ac:dyDescent="0.3">
      <c r="A68">
        <v>41</v>
      </c>
      <c r="B68">
        <v>47</v>
      </c>
      <c r="C68">
        <v>3.0000000000000001E-3</v>
      </c>
      <c r="D68">
        <v>1</v>
      </c>
    </row>
    <row r="69" spans="1:4" x14ac:dyDescent="0.3">
      <c r="A69" s="6">
        <v>49</v>
      </c>
      <c r="B69" s="6">
        <v>54</v>
      </c>
      <c r="C69">
        <f>Result_hydraulic_1!F16</f>
        <v>842975.11039995053</v>
      </c>
      <c r="D69">
        <v>0</v>
      </c>
    </row>
    <row r="70" spans="1:4" x14ac:dyDescent="0.3">
      <c r="A70">
        <v>46</v>
      </c>
      <c r="B70">
        <v>39</v>
      </c>
      <c r="C70">
        <v>3.0000000000000001E-3</v>
      </c>
      <c r="D70">
        <v>1</v>
      </c>
    </row>
    <row r="71" spans="1:4" x14ac:dyDescent="0.3">
      <c r="A71" s="6">
        <v>44</v>
      </c>
      <c r="B71" s="6">
        <v>50</v>
      </c>
      <c r="C71">
        <f>Result_hydraulic_1!F13</f>
        <v>109418169.32991402</v>
      </c>
      <c r="D71">
        <v>0</v>
      </c>
    </row>
    <row r="72" spans="1:4" x14ac:dyDescent="0.3">
      <c r="A72">
        <v>51</v>
      </c>
      <c r="B72">
        <v>52</v>
      </c>
      <c r="C72">
        <v>3.0000000000000001E-3</v>
      </c>
      <c r="D72">
        <v>1</v>
      </c>
    </row>
    <row r="73" spans="1:4" x14ac:dyDescent="0.3">
      <c r="A73">
        <v>52</v>
      </c>
      <c r="B73">
        <v>53</v>
      </c>
      <c r="C73">
        <v>2.8999999999999998E-3</v>
      </c>
      <c r="D73">
        <v>1</v>
      </c>
    </row>
    <row r="74" spans="1:4" x14ac:dyDescent="0.3">
      <c r="A74">
        <v>53</v>
      </c>
      <c r="B74">
        <v>54</v>
      </c>
      <c r="C74">
        <v>2.8999999999999998E-3</v>
      </c>
      <c r="D74">
        <v>1</v>
      </c>
    </row>
    <row r="75" spans="1:4" x14ac:dyDescent="0.3">
      <c r="A75" s="6">
        <v>54</v>
      </c>
      <c r="B75" s="6">
        <v>56</v>
      </c>
      <c r="C75">
        <f>Result_hydraulic_1!F17</f>
        <v>1569819.0741768074</v>
      </c>
      <c r="D75">
        <v>0</v>
      </c>
    </row>
    <row r="76" spans="1:4" x14ac:dyDescent="0.3">
      <c r="A76">
        <v>55</v>
      </c>
      <c r="B76">
        <v>6</v>
      </c>
      <c r="C76">
        <v>3.5000000000000001E-3</v>
      </c>
      <c r="D76">
        <v>1</v>
      </c>
    </row>
    <row r="77" spans="1:4" x14ac:dyDescent="0.3">
      <c r="A77">
        <v>55</v>
      </c>
      <c r="B77">
        <v>5</v>
      </c>
      <c r="C77">
        <v>3.0000000000000001E-3</v>
      </c>
      <c r="D77">
        <v>1</v>
      </c>
    </row>
    <row r="78" spans="1:4" x14ac:dyDescent="0.3">
      <c r="A78" s="6">
        <v>56</v>
      </c>
      <c r="B78" s="6">
        <v>50</v>
      </c>
      <c r="C78">
        <f>Result_hydraulic_1!F14</f>
        <v>317610395.27007645</v>
      </c>
      <c r="D78">
        <v>0</v>
      </c>
    </row>
    <row r="79" spans="1:4" x14ac:dyDescent="0.3">
      <c r="A79" s="6">
        <v>56</v>
      </c>
      <c r="B79" s="6">
        <v>57</v>
      </c>
      <c r="C79">
        <f>Result_hydraulic_1!F15</f>
        <v>1205800.4129373117</v>
      </c>
      <c r="D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E50B-D6C0-48E3-A783-A4DDC45CAADB}">
  <dimension ref="A1:E64"/>
  <sheetViews>
    <sheetView workbookViewId="0">
      <selection activeCell="A64" sqref="A2:A64"/>
    </sheetView>
  </sheetViews>
  <sheetFormatPr defaultRowHeight="14.4" x14ac:dyDescent="0.3"/>
  <cols>
    <col min="4" max="4" width="19.5546875" style="3" customWidth="1"/>
    <col min="5" max="5" width="22.6640625" style="3" customWidth="1"/>
    <col min="6" max="6" width="12" bestFit="1" customWidth="1"/>
  </cols>
  <sheetData>
    <row r="1" spans="1:5" x14ac:dyDescent="0.3">
      <c r="A1" t="s">
        <v>26</v>
      </c>
      <c r="B1" t="s">
        <v>27</v>
      </c>
      <c r="C1" t="s">
        <v>28</v>
      </c>
      <c r="D1" s="3" t="s">
        <v>29</v>
      </c>
      <c r="E1" s="3" t="s">
        <v>30</v>
      </c>
    </row>
    <row r="2" spans="1:5" x14ac:dyDescent="0.3">
      <c r="A2">
        <v>4</v>
      </c>
      <c r="B2">
        <v>3</v>
      </c>
      <c r="C2">
        <v>1</v>
      </c>
      <c r="D2" s="3">
        <v>3.0000000000000001E-3</v>
      </c>
      <c r="E2" s="7" t="s">
        <v>39</v>
      </c>
    </row>
    <row r="3" spans="1:5" x14ac:dyDescent="0.3">
      <c r="A3">
        <v>3</v>
      </c>
      <c r="B3">
        <v>2</v>
      </c>
      <c r="C3">
        <v>1</v>
      </c>
      <c r="D3" s="3">
        <v>8.0000000000000002E-3</v>
      </c>
      <c r="E3" s="7" t="s">
        <v>40</v>
      </c>
    </row>
    <row r="4" spans="1:5" x14ac:dyDescent="0.3">
      <c r="A4">
        <v>2</v>
      </c>
      <c r="B4">
        <v>1</v>
      </c>
      <c r="C4">
        <v>1</v>
      </c>
      <c r="D4" s="3">
        <v>7.9999935297935497E-3</v>
      </c>
      <c r="E4" s="7" t="s">
        <v>41</v>
      </c>
    </row>
    <row r="5" spans="1:5" x14ac:dyDescent="0.3">
      <c r="A5">
        <v>1</v>
      </c>
      <c r="B5">
        <v>7</v>
      </c>
      <c r="C5">
        <v>1</v>
      </c>
      <c r="D5" s="7" t="s">
        <v>42</v>
      </c>
      <c r="E5" s="7" t="s">
        <v>43</v>
      </c>
    </row>
    <row r="6" spans="1:5" x14ac:dyDescent="0.3">
      <c r="A6">
        <v>6</v>
      </c>
      <c r="B6">
        <v>11</v>
      </c>
      <c r="C6">
        <v>1</v>
      </c>
      <c r="D6" s="3">
        <v>2.4999987499993701E-3</v>
      </c>
      <c r="E6" s="7" t="s">
        <v>44</v>
      </c>
    </row>
    <row r="7" spans="1:5" x14ac:dyDescent="0.3">
      <c r="A7">
        <v>11</v>
      </c>
      <c r="B7">
        <v>17</v>
      </c>
      <c r="C7">
        <v>1</v>
      </c>
      <c r="D7" s="7" t="s">
        <v>45</v>
      </c>
      <c r="E7" s="7" t="s">
        <v>46</v>
      </c>
    </row>
    <row r="8" spans="1:5" x14ac:dyDescent="0.3">
      <c r="A8">
        <v>17</v>
      </c>
      <c r="B8">
        <v>22</v>
      </c>
      <c r="C8">
        <v>1</v>
      </c>
      <c r="D8" s="3">
        <v>3.7000001250000601E-2</v>
      </c>
      <c r="E8" s="3">
        <v>283731.350941176</v>
      </c>
    </row>
    <row r="9" spans="1:5" x14ac:dyDescent="0.3">
      <c r="A9">
        <v>22</v>
      </c>
      <c r="B9">
        <v>23</v>
      </c>
      <c r="C9">
        <v>1</v>
      </c>
      <c r="D9" s="3">
        <v>5.6750001700000698E-2</v>
      </c>
      <c r="E9" s="3">
        <v>283731.350941176</v>
      </c>
    </row>
    <row r="10" spans="1:5" x14ac:dyDescent="0.3">
      <c r="A10">
        <v>23</v>
      </c>
      <c r="B10">
        <v>35</v>
      </c>
      <c r="C10">
        <v>1</v>
      </c>
      <c r="D10" s="3">
        <v>7.7500001700000695E-2</v>
      </c>
      <c r="E10" s="7" t="s">
        <v>47</v>
      </c>
    </row>
    <row r="11" spans="1:5" x14ac:dyDescent="0.3">
      <c r="A11">
        <v>35</v>
      </c>
      <c r="B11">
        <v>43</v>
      </c>
      <c r="C11">
        <v>1</v>
      </c>
      <c r="D11" s="7" t="s">
        <v>48</v>
      </c>
      <c r="E11" s="7" t="s">
        <v>49</v>
      </c>
    </row>
    <row r="12" spans="1:5" x14ac:dyDescent="0.3">
      <c r="A12">
        <v>43</v>
      </c>
      <c r="B12">
        <v>42</v>
      </c>
      <c r="C12">
        <v>1</v>
      </c>
      <c r="D12" s="7" t="s">
        <v>50</v>
      </c>
      <c r="E12" s="7" t="s">
        <v>51</v>
      </c>
    </row>
    <row r="13" spans="1:5" x14ac:dyDescent="0.3">
      <c r="A13">
        <v>42</v>
      </c>
      <c r="B13">
        <v>41</v>
      </c>
      <c r="C13">
        <v>1</v>
      </c>
      <c r="D13" s="7" t="s">
        <v>52</v>
      </c>
      <c r="E13" s="7" t="s">
        <v>53</v>
      </c>
    </row>
    <row r="14" spans="1:5" x14ac:dyDescent="0.3">
      <c r="A14">
        <v>10</v>
      </c>
      <c r="B14">
        <v>11</v>
      </c>
      <c r="C14">
        <v>1</v>
      </c>
      <c r="D14" s="3">
        <v>2.5000000000000001E-3</v>
      </c>
      <c r="E14" s="7" t="s">
        <v>54</v>
      </c>
    </row>
    <row r="15" spans="1:5" x14ac:dyDescent="0.3">
      <c r="A15">
        <v>12</v>
      </c>
      <c r="B15">
        <v>11</v>
      </c>
      <c r="C15">
        <v>1</v>
      </c>
      <c r="D15" s="3">
        <v>4.0000000000000001E-3</v>
      </c>
      <c r="E15" s="7" t="s">
        <v>55</v>
      </c>
    </row>
    <row r="16" spans="1:5" x14ac:dyDescent="0.3">
      <c r="A16">
        <v>13</v>
      </c>
      <c r="B16">
        <v>7</v>
      </c>
      <c r="C16">
        <v>1</v>
      </c>
      <c r="D16" s="3">
        <v>1.74999938749978E-3</v>
      </c>
      <c r="E16" s="7" t="s">
        <v>44</v>
      </c>
    </row>
    <row r="17" spans="1:5" x14ac:dyDescent="0.3">
      <c r="A17">
        <v>7</v>
      </c>
      <c r="B17">
        <v>8</v>
      </c>
      <c r="C17">
        <v>1</v>
      </c>
      <c r="D17" s="3">
        <v>2.37499915672915E-2</v>
      </c>
      <c r="E17" s="7" t="s">
        <v>56</v>
      </c>
    </row>
    <row r="18" spans="1:5" x14ac:dyDescent="0.3">
      <c r="A18">
        <v>8</v>
      </c>
      <c r="B18">
        <v>9</v>
      </c>
      <c r="C18">
        <v>1</v>
      </c>
      <c r="D18" s="3">
        <v>4.2749988995555203E-2</v>
      </c>
      <c r="E18" s="7" t="s">
        <v>57</v>
      </c>
    </row>
    <row r="19" spans="1:5" x14ac:dyDescent="0.3">
      <c r="A19">
        <v>9</v>
      </c>
      <c r="B19">
        <v>15</v>
      </c>
      <c r="C19">
        <v>1</v>
      </c>
      <c r="D19" s="7" t="s">
        <v>58</v>
      </c>
      <c r="E19" s="7" t="s">
        <v>59</v>
      </c>
    </row>
    <row r="20" spans="1:5" x14ac:dyDescent="0.3">
      <c r="A20">
        <v>15</v>
      </c>
      <c r="B20">
        <v>20</v>
      </c>
      <c r="C20">
        <v>1</v>
      </c>
      <c r="D20" s="3">
        <v>6.4499997492942399E-2</v>
      </c>
      <c r="E20" s="7" t="s">
        <v>60</v>
      </c>
    </row>
    <row r="21" spans="1:5" x14ac:dyDescent="0.3">
      <c r="A21">
        <v>20</v>
      </c>
      <c r="B21">
        <v>27</v>
      </c>
      <c r="C21">
        <v>1</v>
      </c>
      <c r="D21" s="7" t="s">
        <v>61</v>
      </c>
      <c r="E21" s="7" t="s">
        <v>62</v>
      </c>
    </row>
    <row r="22" spans="1:5" x14ac:dyDescent="0.3">
      <c r="A22">
        <v>27</v>
      </c>
      <c r="B22">
        <v>32</v>
      </c>
      <c r="C22">
        <v>1</v>
      </c>
      <c r="D22" s="7" t="s">
        <v>63</v>
      </c>
      <c r="E22" s="7" t="s">
        <v>62</v>
      </c>
    </row>
    <row r="23" spans="1:5" x14ac:dyDescent="0.3">
      <c r="A23">
        <v>32</v>
      </c>
      <c r="B23">
        <v>40</v>
      </c>
      <c r="C23">
        <v>1</v>
      </c>
      <c r="D23" s="7" t="s">
        <v>64</v>
      </c>
      <c r="E23" s="7" t="s">
        <v>65</v>
      </c>
    </row>
    <row r="24" spans="1:5" x14ac:dyDescent="0.3">
      <c r="A24">
        <v>40</v>
      </c>
      <c r="B24">
        <v>41</v>
      </c>
      <c r="C24">
        <v>1</v>
      </c>
      <c r="D24" s="7" t="s">
        <v>66</v>
      </c>
      <c r="E24" s="7" t="s">
        <v>67</v>
      </c>
    </row>
    <row r="25" spans="1:5" x14ac:dyDescent="0.3">
      <c r="A25">
        <v>41</v>
      </c>
      <c r="B25">
        <v>47</v>
      </c>
      <c r="C25">
        <v>1</v>
      </c>
      <c r="D25" s="7" t="s">
        <v>68</v>
      </c>
      <c r="E25" s="7" t="s">
        <v>69</v>
      </c>
    </row>
    <row r="26" spans="1:5" x14ac:dyDescent="0.3">
      <c r="A26">
        <v>47</v>
      </c>
      <c r="B26">
        <v>52</v>
      </c>
      <c r="C26">
        <v>1</v>
      </c>
      <c r="D26" s="7" t="s">
        <v>70</v>
      </c>
      <c r="E26" s="7" t="s">
        <v>71</v>
      </c>
    </row>
    <row r="27" spans="1:5" x14ac:dyDescent="0.3">
      <c r="A27">
        <v>52</v>
      </c>
      <c r="B27">
        <v>53</v>
      </c>
      <c r="C27">
        <v>1</v>
      </c>
      <c r="D27" s="7" t="s">
        <v>72</v>
      </c>
      <c r="E27" s="3">
        <v>942614.21419626102</v>
      </c>
    </row>
    <row r="28" spans="1:5" x14ac:dyDescent="0.3">
      <c r="A28">
        <v>53</v>
      </c>
      <c r="B28">
        <v>54</v>
      </c>
      <c r="C28">
        <v>1</v>
      </c>
      <c r="D28" s="7" t="s">
        <v>72</v>
      </c>
      <c r="E28" s="7" t="s">
        <v>73</v>
      </c>
    </row>
    <row r="29" spans="1:5" x14ac:dyDescent="0.3">
      <c r="A29">
        <v>54</v>
      </c>
      <c r="B29">
        <v>56</v>
      </c>
      <c r="C29">
        <v>1</v>
      </c>
      <c r="D29" s="7" t="s">
        <v>72</v>
      </c>
      <c r="E29" s="7" t="s">
        <v>74</v>
      </c>
    </row>
    <row r="30" spans="1:5" x14ac:dyDescent="0.3">
      <c r="A30">
        <v>56</v>
      </c>
      <c r="B30">
        <v>57</v>
      </c>
      <c r="C30">
        <v>1</v>
      </c>
      <c r="D30" s="7" t="s">
        <v>33</v>
      </c>
      <c r="E30" s="7" t="s">
        <v>75</v>
      </c>
    </row>
    <row r="31" spans="1:5" x14ac:dyDescent="0.3">
      <c r="A31">
        <v>13</v>
      </c>
      <c r="B31">
        <v>18</v>
      </c>
      <c r="C31">
        <v>1</v>
      </c>
      <c r="D31" s="3">
        <v>1.74999938749978E-3</v>
      </c>
      <c r="E31" s="7" t="s">
        <v>31</v>
      </c>
    </row>
    <row r="32" spans="1:5" x14ac:dyDescent="0.3">
      <c r="A32">
        <v>14</v>
      </c>
      <c r="B32">
        <v>8</v>
      </c>
      <c r="C32">
        <v>1</v>
      </c>
      <c r="D32" s="3">
        <v>1.9999991999997101E-3</v>
      </c>
      <c r="E32" s="7" t="s">
        <v>31</v>
      </c>
    </row>
    <row r="33" spans="1:5" x14ac:dyDescent="0.3">
      <c r="A33">
        <v>14</v>
      </c>
      <c r="B33">
        <v>19</v>
      </c>
      <c r="C33">
        <v>1</v>
      </c>
      <c r="D33" s="3">
        <v>1.9999991999997101E-3</v>
      </c>
      <c r="E33" s="7" t="s">
        <v>31</v>
      </c>
    </row>
    <row r="34" spans="1:5" x14ac:dyDescent="0.3">
      <c r="A34">
        <v>16</v>
      </c>
      <c r="B34">
        <v>21</v>
      </c>
      <c r="C34">
        <v>1</v>
      </c>
      <c r="D34" s="3">
        <v>2.2499999999999998E-3</v>
      </c>
      <c r="E34" s="7" t="s">
        <v>76</v>
      </c>
    </row>
    <row r="35" spans="1:5" x14ac:dyDescent="0.3">
      <c r="A35">
        <v>21</v>
      </c>
      <c r="B35">
        <v>20</v>
      </c>
      <c r="C35">
        <v>1</v>
      </c>
      <c r="D35" s="3">
        <v>1.2999999999999999E-2</v>
      </c>
      <c r="E35" s="7" t="s">
        <v>31</v>
      </c>
    </row>
    <row r="36" spans="1:5" x14ac:dyDescent="0.3">
      <c r="A36">
        <v>26</v>
      </c>
      <c r="B36">
        <v>19</v>
      </c>
      <c r="C36">
        <v>1</v>
      </c>
      <c r="D36" s="3">
        <v>4.9999994999999501E-4</v>
      </c>
      <c r="E36" s="7" t="s">
        <v>31</v>
      </c>
    </row>
    <row r="37" spans="1:5" x14ac:dyDescent="0.3">
      <c r="A37">
        <v>26</v>
      </c>
      <c r="B37">
        <v>31</v>
      </c>
      <c r="C37">
        <v>1</v>
      </c>
      <c r="D37" s="3">
        <v>4.9999994999999501E-4</v>
      </c>
      <c r="E37" s="7" t="s">
        <v>76</v>
      </c>
    </row>
    <row r="38" spans="1:5" x14ac:dyDescent="0.3">
      <c r="A38">
        <v>28</v>
      </c>
      <c r="B38">
        <v>21</v>
      </c>
      <c r="C38">
        <v>1</v>
      </c>
      <c r="D38" s="3">
        <v>1E-3</v>
      </c>
      <c r="E38" s="7" t="s">
        <v>31</v>
      </c>
    </row>
    <row r="39" spans="1:5" x14ac:dyDescent="0.3">
      <c r="A39">
        <v>21</v>
      </c>
      <c r="B39">
        <v>22</v>
      </c>
      <c r="C39">
        <v>1</v>
      </c>
      <c r="D39" s="3">
        <v>3.2499999999999999E-3</v>
      </c>
      <c r="E39" s="3">
        <v>283731.350941176</v>
      </c>
    </row>
    <row r="40" spans="1:5" x14ac:dyDescent="0.3">
      <c r="A40">
        <v>28</v>
      </c>
      <c r="B40">
        <v>33</v>
      </c>
      <c r="C40">
        <v>1</v>
      </c>
      <c r="D40" s="3">
        <v>3.0000000000000001E-3</v>
      </c>
      <c r="E40" s="7" t="s">
        <v>76</v>
      </c>
    </row>
    <row r="41" spans="1:5" x14ac:dyDescent="0.3">
      <c r="A41">
        <v>33</v>
      </c>
      <c r="B41">
        <v>32</v>
      </c>
      <c r="C41">
        <v>1</v>
      </c>
      <c r="D41" s="3">
        <v>1.15E-2</v>
      </c>
      <c r="E41" s="3">
        <v>335316.209494079</v>
      </c>
    </row>
    <row r="42" spans="1:5" x14ac:dyDescent="0.3">
      <c r="A42">
        <v>29</v>
      </c>
      <c r="B42">
        <v>34</v>
      </c>
      <c r="C42">
        <v>1</v>
      </c>
      <c r="D42" s="3">
        <v>1.49999954999986E-3</v>
      </c>
      <c r="E42" s="7" t="s">
        <v>76</v>
      </c>
    </row>
    <row r="43" spans="1:5" x14ac:dyDescent="0.3">
      <c r="A43">
        <v>34</v>
      </c>
      <c r="B43">
        <v>35</v>
      </c>
      <c r="C43">
        <v>1</v>
      </c>
      <c r="D43" s="7" t="s">
        <v>77</v>
      </c>
      <c r="E43" s="7" t="s">
        <v>76</v>
      </c>
    </row>
    <row r="44" spans="1:5" x14ac:dyDescent="0.3">
      <c r="A44">
        <v>29</v>
      </c>
      <c r="B44">
        <v>22</v>
      </c>
      <c r="C44">
        <v>1</v>
      </c>
      <c r="D44" s="3">
        <v>1.49999954999986E-3</v>
      </c>
      <c r="E44" s="7" t="s">
        <v>31</v>
      </c>
    </row>
    <row r="45" spans="1:5" x14ac:dyDescent="0.3">
      <c r="A45">
        <v>31</v>
      </c>
      <c r="B45">
        <v>32</v>
      </c>
      <c r="C45">
        <v>1</v>
      </c>
      <c r="D45" s="3">
        <v>1E-3</v>
      </c>
      <c r="E45" s="7" t="s">
        <v>31</v>
      </c>
    </row>
    <row r="46" spans="1:5" x14ac:dyDescent="0.3">
      <c r="A46">
        <v>34</v>
      </c>
      <c r="B46">
        <v>33</v>
      </c>
      <c r="C46">
        <v>1</v>
      </c>
      <c r="D46" s="3">
        <v>2.5000000000000001E-3</v>
      </c>
      <c r="E46" s="7" t="s">
        <v>76</v>
      </c>
    </row>
    <row r="47" spans="1:5" x14ac:dyDescent="0.3">
      <c r="A47">
        <v>36</v>
      </c>
      <c r="B47">
        <v>35</v>
      </c>
      <c r="C47">
        <v>1</v>
      </c>
      <c r="D47" s="3">
        <v>9.4999999999999894E-3</v>
      </c>
      <c r="E47" s="7" t="s">
        <v>31</v>
      </c>
    </row>
    <row r="48" spans="1:5" x14ac:dyDescent="0.3">
      <c r="A48">
        <v>37</v>
      </c>
      <c r="B48">
        <v>34</v>
      </c>
      <c r="C48">
        <v>1</v>
      </c>
      <c r="D48" s="3">
        <v>3.0000000000000001E-3</v>
      </c>
      <c r="E48" s="7" t="s">
        <v>54</v>
      </c>
    </row>
    <row r="49" spans="1:5" x14ac:dyDescent="0.3">
      <c r="A49">
        <v>39</v>
      </c>
      <c r="B49">
        <v>40</v>
      </c>
      <c r="C49">
        <v>1</v>
      </c>
      <c r="D49" s="3">
        <v>5.0000000000000001E-4</v>
      </c>
      <c r="E49" s="7" t="s">
        <v>76</v>
      </c>
    </row>
    <row r="50" spans="1:5" x14ac:dyDescent="0.3">
      <c r="A50">
        <v>39</v>
      </c>
      <c r="B50">
        <v>38</v>
      </c>
      <c r="C50">
        <v>1</v>
      </c>
      <c r="D50" s="3">
        <v>5.0000000000000001E-4</v>
      </c>
      <c r="E50" s="7" t="s">
        <v>31</v>
      </c>
    </row>
    <row r="51" spans="1:5" x14ac:dyDescent="0.3">
      <c r="A51">
        <v>38</v>
      </c>
      <c r="B51">
        <v>45</v>
      </c>
      <c r="C51">
        <v>1</v>
      </c>
      <c r="D51" s="3">
        <v>3.5000000000000001E-3</v>
      </c>
      <c r="E51" s="7" t="s">
        <v>78</v>
      </c>
    </row>
    <row r="52" spans="1:5" x14ac:dyDescent="0.3">
      <c r="A52">
        <v>45</v>
      </c>
      <c r="B52">
        <v>51</v>
      </c>
      <c r="C52">
        <v>1</v>
      </c>
      <c r="D52" s="3">
        <v>8.5000000000000006E-3</v>
      </c>
      <c r="E52" s="7" t="s">
        <v>79</v>
      </c>
    </row>
    <row r="53" spans="1:5" x14ac:dyDescent="0.3">
      <c r="A53">
        <v>51</v>
      </c>
      <c r="B53">
        <v>52</v>
      </c>
      <c r="C53">
        <v>1</v>
      </c>
      <c r="D53" s="3">
        <v>1.15E-2</v>
      </c>
      <c r="E53" s="7" t="s">
        <v>80</v>
      </c>
    </row>
    <row r="54" spans="1:5" x14ac:dyDescent="0.3">
      <c r="A54">
        <v>44</v>
      </c>
      <c r="B54">
        <v>43</v>
      </c>
      <c r="C54">
        <v>1</v>
      </c>
      <c r="D54" s="3">
        <v>3.7499999999999999E-3</v>
      </c>
      <c r="E54" s="7" t="s">
        <v>31</v>
      </c>
    </row>
    <row r="55" spans="1:5" x14ac:dyDescent="0.3">
      <c r="A55">
        <v>46</v>
      </c>
      <c r="B55">
        <v>47</v>
      </c>
      <c r="C55">
        <v>1</v>
      </c>
      <c r="D55" s="3">
        <v>7.4999941874916197E-4</v>
      </c>
      <c r="E55" s="7" t="s">
        <v>31</v>
      </c>
    </row>
    <row r="56" spans="1:5" x14ac:dyDescent="0.3">
      <c r="A56">
        <v>46</v>
      </c>
      <c r="B56">
        <v>39</v>
      </c>
      <c r="C56">
        <v>1</v>
      </c>
      <c r="D56" s="3">
        <v>7.4999941874916197E-4</v>
      </c>
      <c r="E56" s="7" t="s">
        <v>81</v>
      </c>
    </row>
    <row r="57" spans="1:5" x14ac:dyDescent="0.3">
      <c r="A57">
        <v>39</v>
      </c>
      <c r="B57">
        <v>31</v>
      </c>
      <c r="C57">
        <v>1</v>
      </c>
      <c r="D57" s="3">
        <v>4.9999961249944103E-4</v>
      </c>
      <c r="E57" s="7" t="s">
        <v>47</v>
      </c>
    </row>
    <row r="58" spans="1:5" x14ac:dyDescent="0.3">
      <c r="A58">
        <v>31</v>
      </c>
      <c r="B58">
        <v>30</v>
      </c>
      <c r="C58">
        <v>1</v>
      </c>
      <c r="D58" s="3">
        <v>9.9999912499791209E-4</v>
      </c>
      <c r="E58" s="3">
        <v>390684.557059218</v>
      </c>
    </row>
    <row r="59" spans="1:5" x14ac:dyDescent="0.3">
      <c r="A59">
        <v>30</v>
      </c>
      <c r="B59">
        <v>25</v>
      </c>
      <c r="C59">
        <v>1</v>
      </c>
      <c r="D59" s="3">
        <v>3.99999121199865E-3</v>
      </c>
      <c r="E59" s="7" t="s">
        <v>34</v>
      </c>
    </row>
    <row r="60" spans="1:5" x14ac:dyDescent="0.3">
      <c r="A60">
        <v>25</v>
      </c>
      <c r="B60">
        <v>18</v>
      </c>
      <c r="C60">
        <v>1</v>
      </c>
      <c r="D60" s="3">
        <v>9.9999912119986597E-3</v>
      </c>
      <c r="E60" s="7" t="s">
        <v>82</v>
      </c>
    </row>
    <row r="61" spans="1:5" x14ac:dyDescent="0.3">
      <c r="A61">
        <v>18</v>
      </c>
      <c r="B61">
        <v>19</v>
      </c>
      <c r="C61">
        <v>1</v>
      </c>
      <c r="D61" s="7" t="s">
        <v>83</v>
      </c>
      <c r="E61" s="7" t="s">
        <v>84</v>
      </c>
    </row>
    <row r="62" spans="1:5" x14ac:dyDescent="0.3">
      <c r="A62">
        <v>19</v>
      </c>
      <c r="B62">
        <v>20</v>
      </c>
      <c r="C62">
        <v>1</v>
      </c>
      <c r="D62" s="7" t="s">
        <v>85</v>
      </c>
      <c r="E62" s="3">
        <v>730050.92321242602</v>
      </c>
    </row>
    <row r="63" spans="1:5" x14ac:dyDescent="0.3">
      <c r="A63">
        <v>48</v>
      </c>
      <c r="B63">
        <v>42</v>
      </c>
      <c r="C63">
        <v>1</v>
      </c>
      <c r="D63" s="3">
        <v>1.9999983999987201E-3</v>
      </c>
      <c r="E63" s="7" t="s">
        <v>31</v>
      </c>
    </row>
    <row r="64" spans="1:5" x14ac:dyDescent="0.3">
      <c r="A64">
        <v>48</v>
      </c>
      <c r="B64">
        <v>47</v>
      </c>
      <c r="C64">
        <v>1</v>
      </c>
      <c r="D64" s="3">
        <v>1.9999983999987201E-3</v>
      </c>
      <c r="E64" s="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63DA-416A-400D-BE07-701A962F6E52}">
  <dimension ref="A1:F79"/>
  <sheetViews>
    <sheetView workbookViewId="0">
      <selection activeCell="F2" sqref="F2:F26"/>
    </sheetView>
  </sheetViews>
  <sheetFormatPr defaultRowHeight="14.4" x14ac:dyDescent="0.3"/>
  <cols>
    <col min="3" max="3" width="13.5546875" customWidth="1"/>
    <col min="6" max="6" width="22.109375" customWidth="1"/>
  </cols>
  <sheetData>
    <row r="1" spans="1:6" x14ac:dyDescent="0.3">
      <c r="A1" s="8" t="s">
        <v>26</v>
      </c>
      <c r="B1" s="8" t="s">
        <v>27</v>
      </c>
      <c r="C1" s="8" t="s">
        <v>86</v>
      </c>
      <c r="D1" s="8" t="s">
        <v>87</v>
      </c>
    </row>
    <row r="2" spans="1:6" x14ac:dyDescent="0.3">
      <c r="A2">
        <v>4</v>
      </c>
      <c r="B2">
        <v>3</v>
      </c>
      <c r="C2">
        <v>115184776.62595519</v>
      </c>
      <c r="D2">
        <v>0</v>
      </c>
      <c r="F2" t="str">
        <f>CONCATENATE(A2," ",B2," ",C2," ", D2)</f>
        <v>4 3 115184776.625955 0</v>
      </c>
    </row>
    <row r="3" spans="1:6" x14ac:dyDescent="0.3">
      <c r="A3">
        <v>2</v>
      </c>
      <c r="B3">
        <v>1</v>
      </c>
      <c r="C3">
        <v>66508752.583755203</v>
      </c>
      <c r="D3">
        <v>0</v>
      </c>
      <c r="F3" t="str">
        <f t="shared" ref="F3:F66" si="0">CONCATENATE(A3," ",B3," ",C3," ", D3)</f>
        <v>2 1 66508752.5837552 0</v>
      </c>
    </row>
    <row r="4" spans="1:6" x14ac:dyDescent="0.3">
      <c r="A4">
        <v>2</v>
      </c>
      <c r="B4">
        <v>55</v>
      </c>
      <c r="C4">
        <v>3.8E-3</v>
      </c>
      <c r="D4">
        <v>1</v>
      </c>
      <c r="F4" t="str">
        <f t="shared" si="0"/>
        <v>2 55 0.0038 1</v>
      </c>
    </row>
    <row r="5" spans="1:6" x14ac:dyDescent="0.3">
      <c r="A5">
        <v>1</v>
      </c>
      <c r="B5">
        <v>7</v>
      </c>
      <c r="C5">
        <v>45770204.413229279</v>
      </c>
      <c r="D5">
        <v>0</v>
      </c>
      <c r="F5" t="str">
        <f t="shared" si="0"/>
        <v>1 7 45770204.4132293 0</v>
      </c>
    </row>
    <row r="6" spans="1:6" x14ac:dyDescent="0.3">
      <c r="A6">
        <v>18</v>
      </c>
      <c r="B6">
        <v>19</v>
      </c>
      <c r="C6">
        <v>27384709.643713001</v>
      </c>
      <c r="D6">
        <v>0</v>
      </c>
      <c r="F6" t="str">
        <f t="shared" si="0"/>
        <v>18 19 27384709.643713 0</v>
      </c>
    </row>
    <row r="7" spans="1:6" x14ac:dyDescent="0.3">
      <c r="A7">
        <v>5</v>
      </c>
      <c r="B7">
        <v>8</v>
      </c>
      <c r="C7">
        <v>3.0000000000000001E-3</v>
      </c>
      <c r="D7">
        <v>1</v>
      </c>
      <c r="F7" t="str">
        <f t="shared" si="0"/>
        <v>5 8 0.003 1</v>
      </c>
    </row>
    <row r="8" spans="1:6" x14ac:dyDescent="0.3">
      <c r="A8">
        <v>6</v>
      </c>
      <c r="B8">
        <v>11</v>
      </c>
      <c r="C8">
        <v>109418224.4088358</v>
      </c>
      <c r="D8">
        <v>0</v>
      </c>
      <c r="F8" t="str">
        <f t="shared" si="0"/>
        <v>6 11 109418224.408836 0</v>
      </c>
    </row>
    <row r="9" spans="1:6" x14ac:dyDescent="0.3">
      <c r="A9">
        <v>7</v>
      </c>
      <c r="B9">
        <v>8</v>
      </c>
      <c r="C9">
        <v>19036645.00163484</v>
      </c>
      <c r="D9">
        <v>0</v>
      </c>
      <c r="F9" t="str">
        <f t="shared" si="0"/>
        <v>7 8 19036645.0016348 0</v>
      </c>
    </row>
    <row r="10" spans="1:6" x14ac:dyDescent="0.3">
      <c r="A10">
        <v>8</v>
      </c>
      <c r="B10">
        <v>9</v>
      </c>
      <c r="C10">
        <v>15989381.94537043</v>
      </c>
      <c r="D10">
        <v>0</v>
      </c>
      <c r="F10" t="str">
        <f t="shared" si="0"/>
        <v>8 9 15989381.9453704 0</v>
      </c>
    </row>
    <row r="11" spans="1:6" x14ac:dyDescent="0.3">
      <c r="A11">
        <v>9</v>
      </c>
      <c r="B11">
        <v>15</v>
      </c>
      <c r="C11">
        <v>10958972.84677718</v>
      </c>
      <c r="D11">
        <v>0</v>
      </c>
      <c r="F11" t="str">
        <f t="shared" si="0"/>
        <v>9 15 10958972.8467772 0</v>
      </c>
    </row>
    <row r="12" spans="1:6" x14ac:dyDescent="0.3">
      <c r="A12">
        <v>10</v>
      </c>
      <c r="B12">
        <v>11</v>
      </c>
      <c r="C12">
        <v>106275597.3758461</v>
      </c>
      <c r="D12">
        <v>0</v>
      </c>
      <c r="F12" t="str">
        <f t="shared" si="0"/>
        <v>10 11 106275597.375846 0</v>
      </c>
    </row>
    <row r="13" spans="1:6" x14ac:dyDescent="0.3">
      <c r="A13">
        <v>10</v>
      </c>
      <c r="B13">
        <v>55</v>
      </c>
      <c r="C13">
        <v>3.0000000000000001E-3</v>
      </c>
      <c r="D13">
        <v>1</v>
      </c>
      <c r="F13" t="str">
        <f t="shared" si="0"/>
        <v>10 55 0.003 1</v>
      </c>
    </row>
    <row r="14" spans="1:6" x14ac:dyDescent="0.3">
      <c r="A14">
        <v>3</v>
      </c>
      <c r="B14">
        <v>2</v>
      </c>
      <c r="C14">
        <v>56513721.766380511</v>
      </c>
      <c r="D14">
        <v>0</v>
      </c>
      <c r="F14" t="str">
        <f t="shared" si="0"/>
        <v>3 2 56513721.7663805 0</v>
      </c>
    </row>
    <row r="15" spans="1:6" x14ac:dyDescent="0.3">
      <c r="A15">
        <v>11</v>
      </c>
      <c r="B15">
        <v>17</v>
      </c>
      <c r="C15">
        <v>9152623.8903774787</v>
      </c>
      <c r="D15">
        <v>0</v>
      </c>
      <c r="F15" t="str">
        <f t="shared" si="0"/>
        <v>11 17 9152623.89037748 0</v>
      </c>
    </row>
    <row r="16" spans="1:6" x14ac:dyDescent="0.3">
      <c r="A16">
        <v>12</v>
      </c>
      <c r="B16">
        <v>11</v>
      </c>
      <c r="C16">
        <v>68386356.29342404</v>
      </c>
      <c r="D16">
        <v>0</v>
      </c>
      <c r="F16" t="str">
        <f t="shared" si="0"/>
        <v>12 11 68386356.293424 0</v>
      </c>
    </row>
    <row r="17" spans="1:6" x14ac:dyDescent="0.3">
      <c r="A17">
        <v>13</v>
      </c>
      <c r="B17">
        <v>7</v>
      </c>
      <c r="C17">
        <v>156311725.70868951</v>
      </c>
      <c r="D17">
        <v>0</v>
      </c>
      <c r="F17" t="str">
        <f t="shared" si="0"/>
        <v>13 7 156311725.70869 0</v>
      </c>
    </row>
    <row r="18" spans="1:6" x14ac:dyDescent="0.3">
      <c r="A18">
        <v>13</v>
      </c>
      <c r="B18">
        <v>18</v>
      </c>
      <c r="C18">
        <v>156311725.18042871</v>
      </c>
      <c r="D18">
        <v>0</v>
      </c>
      <c r="F18" t="str">
        <f t="shared" si="0"/>
        <v>13 18 156311725.180429 0</v>
      </c>
    </row>
    <row r="19" spans="1:6" x14ac:dyDescent="0.3">
      <c r="A19">
        <v>14</v>
      </c>
      <c r="B19">
        <v>8</v>
      </c>
      <c r="C19">
        <v>136772766.3715184</v>
      </c>
      <c r="D19">
        <v>0</v>
      </c>
      <c r="F19" t="str">
        <f t="shared" si="0"/>
        <v>14 8 136772766.371518 0</v>
      </c>
    </row>
    <row r="20" spans="1:6" x14ac:dyDescent="0.3">
      <c r="A20">
        <v>14</v>
      </c>
      <c r="B20">
        <v>19</v>
      </c>
      <c r="C20">
        <v>136772766.3715184</v>
      </c>
      <c r="D20">
        <v>0</v>
      </c>
      <c r="F20" t="str">
        <f t="shared" si="0"/>
        <v>14 19 136772766.371518 0</v>
      </c>
    </row>
    <row r="21" spans="1:6" x14ac:dyDescent="0.3">
      <c r="A21">
        <v>15</v>
      </c>
      <c r="B21">
        <v>20</v>
      </c>
      <c r="C21">
        <v>11323916.472341601</v>
      </c>
      <c r="D21">
        <v>0</v>
      </c>
      <c r="F21" t="str">
        <f t="shared" si="0"/>
        <v>15 20 11323916.4723416 0</v>
      </c>
    </row>
    <row r="22" spans="1:6" x14ac:dyDescent="0.3">
      <c r="A22">
        <v>16</v>
      </c>
      <c r="B22">
        <v>10</v>
      </c>
      <c r="C22">
        <v>3.0000000000000001E-3</v>
      </c>
      <c r="D22">
        <v>1</v>
      </c>
      <c r="F22" t="str">
        <f t="shared" si="0"/>
        <v>16 10 0.003 1</v>
      </c>
    </row>
    <row r="23" spans="1:6" x14ac:dyDescent="0.3">
      <c r="A23">
        <v>19</v>
      </c>
      <c r="B23">
        <v>20</v>
      </c>
      <c r="C23">
        <v>20421010.259229772</v>
      </c>
      <c r="D23">
        <v>0</v>
      </c>
      <c r="F23" t="str">
        <f t="shared" si="0"/>
        <v>19 20 20421010.2592298 0</v>
      </c>
    </row>
    <row r="24" spans="1:6" x14ac:dyDescent="0.3">
      <c r="A24">
        <v>17</v>
      </c>
      <c r="B24">
        <v>22</v>
      </c>
      <c r="C24">
        <v>7668414.6312338673</v>
      </c>
      <c r="D24">
        <v>0</v>
      </c>
      <c r="F24" t="str">
        <f t="shared" si="0"/>
        <v>17 22 7668414.63123387 0</v>
      </c>
    </row>
    <row r="25" spans="1:6" x14ac:dyDescent="0.3">
      <c r="A25">
        <v>25</v>
      </c>
      <c r="B25">
        <v>18</v>
      </c>
      <c r="C25">
        <v>48124155.247951008</v>
      </c>
      <c r="D25">
        <v>0</v>
      </c>
      <c r="F25" t="str">
        <f t="shared" si="0"/>
        <v>25 18 48124155.247951 0</v>
      </c>
    </row>
    <row r="26" spans="1:6" x14ac:dyDescent="0.3">
      <c r="A26">
        <v>10</v>
      </c>
      <c r="B26">
        <v>9</v>
      </c>
      <c r="C26">
        <v>3.0000000000000001E-3</v>
      </c>
      <c r="D26">
        <v>1</v>
      </c>
      <c r="F26" t="str">
        <f t="shared" si="0"/>
        <v>10 9 0.003 1</v>
      </c>
    </row>
    <row r="27" spans="1:6" x14ac:dyDescent="0.3">
      <c r="A27">
        <v>26</v>
      </c>
      <c r="B27">
        <v>19</v>
      </c>
      <c r="C27">
        <v>547090901.3586638</v>
      </c>
      <c r="D27">
        <v>0</v>
      </c>
      <c r="F27" t="str">
        <f t="shared" si="0"/>
        <v>26 19 547090901.358664 0</v>
      </c>
    </row>
    <row r="28" spans="1:6" x14ac:dyDescent="0.3">
      <c r="A28">
        <v>20</v>
      </c>
      <c r="B28">
        <v>27</v>
      </c>
      <c r="C28">
        <v>5881164.9593932927</v>
      </c>
      <c r="D28">
        <v>0</v>
      </c>
      <c r="F28" t="str">
        <f t="shared" si="0"/>
        <v>20 27 5881164.95939329 0</v>
      </c>
    </row>
    <row r="29" spans="1:6" x14ac:dyDescent="0.3">
      <c r="A29">
        <v>21</v>
      </c>
      <c r="B29">
        <v>20</v>
      </c>
      <c r="C29">
        <v>21041955.640368011</v>
      </c>
      <c r="D29">
        <v>0</v>
      </c>
      <c r="F29" t="str">
        <f t="shared" si="0"/>
        <v>21 20 21041955.640368 0</v>
      </c>
    </row>
    <row r="30" spans="1:6" x14ac:dyDescent="0.3">
      <c r="A30">
        <v>28</v>
      </c>
      <c r="B30">
        <v>21</v>
      </c>
      <c r="C30">
        <v>273545423.3247841</v>
      </c>
      <c r="D30">
        <v>0</v>
      </c>
      <c r="F30" t="str">
        <f t="shared" si="0"/>
        <v>28 21 273545423.324784 0</v>
      </c>
    </row>
    <row r="31" spans="1:6" x14ac:dyDescent="0.3">
      <c r="A31">
        <v>22</v>
      </c>
      <c r="B31">
        <v>23</v>
      </c>
      <c r="C31">
        <v>4999671.232453417</v>
      </c>
      <c r="D31">
        <v>0</v>
      </c>
      <c r="F31" t="str">
        <f t="shared" si="0"/>
        <v>22 23 4999671.23245342 0</v>
      </c>
    </row>
    <row r="32" spans="1:6" x14ac:dyDescent="0.3">
      <c r="A32">
        <v>16</v>
      </c>
      <c r="B32">
        <v>21</v>
      </c>
      <c r="C32">
        <v>118083996.8199157</v>
      </c>
      <c r="D32">
        <v>0</v>
      </c>
      <c r="F32" t="str">
        <f t="shared" si="0"/>
        <v>16 21 118083996.819916 0</v>
      </c>
    </row>
    <row r="33" spans="1:6" x14ac:dyDescent="0.3">
      <c r="A33">
        <v>23</v>
      </c>
      <c r="B33">
        <v>35</v>
      </c>
      <c r="C33">
        <v>7442633.2671798952</v>
      </c>
      <c r="D33">
        <v>0</v>
      </c>
      <c r="F33" t="str">
        <f t="shared" si="0"/>
        <v>23 35 7442633.2671799 0</v>
      </c>
    </row>
    <row r="34" spans="1:6" x14ac:dyDescent="0.3">
      <c r="A34">
        <v>21</v>
      </c>
      <c r="B34">
        <v>22</v>
      </c>
      <c r="C34">
        <v>87301954.135746464</v>
      </c>
      <c r="D34">
        <v>0</v>
      </c>
      <c r="F34" t="str">
        <f t="shared" si="0"/>
        <v>21 22 87301954.1357465 0</v>
      </c>
    </row>
    <row r="35" spans="1:6" x14ac:dyDescent="0.3">
      <c r="A35">
        <v>33</v>
      </c>
      <c r="B35">
        <v>32</v>
      </c>
      <c r="C35">
        <v>29157931.260354701</v>
      </c>
      <c r="D35">
        <v>0</v>
      </c>
      <c r="F35" t="str">
        <f t="shared" si="0"/>
        <v>33 32 29157931.2603547 0</v>
      </c>
    </row>
    <row r="36" spans="1:6" x14ac:dyDescent="0.3">
      <c r="A36">
        <v>30</v>
      </c>
      <c r="B36">
        <v>25</v>
      </c>
      <c r="C36">
        <v>102493260.277399</v>
      </c>
      <c r="D36">
        <v>0</v>
      </c>
      <c r="F36" t="str">
        <f t="shared" si="0"/>
        <v>30 25 102493260.277399 0</v>
      </c>
    </row>
    <row r="37" spans="1:6" x14ac:dyDescent="0.3">
      <c r="A37">
        <v>49</v>
      </c>
      <c r="B37">
        <v>50</v>
      </c>
      <c r="C37">
        <v>3.0000000000000001E-3</v>
      </c>
      <c r="D37">
        <v>1</v>
      </c>
      <c r="F37" t="str">
        <f t="shared" si="0"/>
        <v>49 50 0.003 1</v>
      </c>
    </row>
    <row r="38" spans="1:6" x14ac:dyDescent="0.3">
      <c r="A38">
        <v>27</v>
      </c>
      <c r="B38">
        <v>32</v>
      </c>
      <c r="C38">
        <v>5483938.0225373851</v>
      </c>
      <c r="D38">
        <v>0</v>
      </c>
      <c r="F38" t="str">
        <f t="shared" si="0"/>
        <v>27 32 5483938.02253739 0</v>
      </c>
    </row>
    <row r="39" spans="1:6" x14ac:dyDescent="0.3">
      <c r="A39">
        <v>28</v>
      </c>
      <c r="B39">
        <v>33</v>
      </c>
      <c r="C39">
        <v>88562997.614936769</v>
      </c>
      <c r="D39">
        <v>0</v>
      </c>
      <c r="F39" t="str">
        <f t="shared" si="0"/>
        <v>28 33 88562997.6149368 0</v>
      </c>
    </row>
    <row r="40" spans="1:6" x14ac:dyDescent="0.3">
      <c r="A40">
        <v>29</v>
      </c>
      <c r="B40">
        <v>34</v>
      </c>
      <c r="C40">
        <v>177126048.3677046</v>
      </c>
      <c r="D40">
        <v>0</v>
      </c>
      <c r="F40" t="str">
        <f t="shared" si="0"/>
        <v>29 34 177126048.367705 0</v>
      </c>
    </row>
    <row r="41" spans="1:6" x14ac:dyDescent="0.3">
      <c r="A41">
        <v>29</v>
      </c>
      <c r="B41">
        <v>22</v>
      </c>
      <c r="C41">
        <v>182363670.25897419</v>
      </c>
      <c r="D41">
        <v>0</v>
      </c>
      <c r="F41" t="str">
        <f t="shared" si="0"/>
        <v>29 22 182363670.258974 0</v>
      </c>
    </row>
    <row r="42" spans="1:6" x14ac:dyDescent="0.3">
      <c r="A42">
        <v>31</v>
      </c>
      <c r="B42">
        <v>30</v>
      </c>
      <c r="C42">
        <v>390684898.90932018</v>
      </c>
      <c r="D42">
        <v>0</v>
      </c>
      <c r="F42" t="str">
        <f t="shared" si="0"/>
        <v>31 30 390684898.90932 0</v>
      </c>
    </row>
    <row r="43" spans="1:6" x14ac:dyDescent="0.3">
      <c r="A43">
        <v>31</v>
      </c>
      <c r="B43">
        <v>32</v>
      </c>
      <c r="C43">
        <v>273545423.3247841</v>
      </c>
      <c r="D43">
        <v>0</v>
      </c>
      <c r="F43" t="str">
        <f t="shared" si="0"/>
        <v>31 32 273545423.324784 0</v>
      </c>
    </row>
    <row r="44" spans="1:6" x14ac:dyDescent="0.3">
      <c r="A44">
        <v>39</v>
      </c>
      <c r="B44">
        <v>31</v>
      </c>
      <c r="C44">
        <v>1153609075.766171</v>
      </c>
      <c r="D44">
        <v>0</v>
      </c>
      <c r="F44" t="str">
        <f t="shared" si="0"/>
        <v>39 31 1153609075.76617 0</v>
      </c>
    </row>
    <row r="45" spans="1:6" x14ac:dyDescent="0.3">
      <c r="A45">
        <v>26</v>
      </c>
      <c r="B45">
        <v>31</v>
      </c>
      <c r="C45">
        <v>531378038.82742977</v>
      </c>
      <c r="D45">
        <v>0</v>
      </c>
      <c r="F45" t="str">
        <f t="shared" si="0"/>
        <v>26 31 531378038.82743 0</v>
      </c>
    </row>
    <row r="46" spans="1:6" x14ac:dyDescent="0.3">
      <c r="A46">
        <v>32</v>
      </c>
      <c r="B46">
        <v>40</v>
      </c>
      <c r="C46">
        <v>10008711.36557834</v>
      </c>
      <c r="D46">
        <v>0</v>
      </c>
      <c r="F46" t="str">
        <f t="shared" si="0"/>
        <v>32 40 10008711.3655783 0</v>
      </c>
    </row>
    <row r="47" spans="1:6" x14ac:dyDescent="0.3">
      <c r="A47">
        <v>37</v>
      </c>
      <c r="B47">
        <v>34</v>
      </c>
      <c r="C47">
        <v>88562997.813205063</v>
      </c>
      <c r="D47">
        <v>0</v>
      </c>
      <c r="F47" t="str">
        <f t="shared" si="0"/>
        <v>37 34 88562997.8132051 0</v>
      </c>
    </row>
    <row r="48" spans="1:6" x14ac:dyDescent="0.3">
      <c r="A48">
        <v>34</v>
      </c>
      <c r="B48">
        <v>33</v>
      </c>
      <c r="C48">
        <v>106275597.1379241</v>
      </c>
      <c r="D48">
        <v>0</v>
      </c>
      <c r="F48" t="str">
        <f t="shared" si="0"/>
        <v>34 33 106275597.137924 0</v>
      </c>
    </row>
    <row r="49" spans="1:6" x14ac:dyDescent="0.3">
      <c r="A49">
        <v>48</v>
      </c>
      <c r="B49">
        <v>42</v>
      </c>
      <c r="C49">
        <v>136772821.0807364</v>
      </c>
      <c r="D49">
        <v>0</v>
      </c>
      <c r="F49" t="str">
        <f t="shared" si="0"/>
        <v>48 42 136772821.080736 0</v>
      </c>
    </row>
    <row r="50" spans="1:6" x14ac:dyDescent="0.3">
      <c r="A50">
        <v>34</v>
      </c>
      <c r="B50">
        <v>35</v>
      </c>
      <c r="C50">
        <v>22140750.234012689</v>
      </c>
      <c r="D50">
        <v>0</v>
      </c>
      <c r="F50" t="str">
        <f t="shared" si="0"/>
        <v>34 35 22140750.2340127 0</v>
      </c>
    </row>
    <row r="51" spans="1:6" x14ac:dyDescent="0.3">
      <c r="A51">
        <v>35</v>
      </c>
      <c r="B51">
        <v>43</v>
      </c>
      <c r="C51">
        <v>6664939.3795792516</v>
      </c>
      <c r="D51">
        <v>0</v>
      </c>
      <c r="F51" t="str">
        <f t="shared" si="0"/>
        <v>35 43 6664939.37957925 0</v>
      </c>
    </row>
    <row r="52" spans="1:6" x14ac:dyDescent="0.3">
      <c r="A52">
        <v>36</v>
      </c>
      <c r="B52">
        <v>35</v>
      </c>
      <c r="C52">
        <v>28794255.08681941</v>
      </c>
      <c r="D52">
        <v>0</v>
      </c>
      <c r="F52" t="str">
        <f t="shared" si="0"/>
        <v>36 35 28794255.0868194 0</v>
      </c>
    </row>
    <row r="53" spans="1:6" x14ac:dyDescent="0.3">
      <c r="A53">
        <v>44</v>
      </c>
      <c r="B53">
        <v>36</v>
      </c>
      <c r="C53">
        <v>3.0000000000000001E-3</v>
      </c>
      <c r="D53">
        <v>1</v>
      </c>
      <c r="F53" t="str">
        <f t="shared" si="0"/>
        <v>44 36 0.003 1</v>
      </c>
    </row>
    <row r="54" spans="1:6" x14ac:dyDescent="0.3">
      <c r="A54">
        <v>38</v>
      </c>
      <c r="B54">
        <v>45</v>
      </c>
      <c r="C54">
        <v>131126295.7042648</v>
      </c>
      <c r="D54">
        <v>0</v>
      </c>
      <c r="F54" t="str">
        <f t="shared" si="0"/>
        <v>38 45 131126295.704265 0</v>
      </c>
    </row>
    <row r="55" spans="1:6" x14ac:dyDescent="0.3">
      <c r="A55">
        <v>39</v>
      </c>
      <c r="B55">
        <v>40</v>
      </c>
      <c r="C55">
        <v>531377985.68962061</v>
      </c>
      <c r="D55">
        <v>0</v>
      </c>
      <c r="F55" t="str">
        <f t="shared" si="0"/>
        <v>39 40 531377985.689621 0</v>
      </c>
    </row>
    <row r="56" spans="1:6" x14ac:dyDescent="0.3">
      <c r="A56">
        <v>39</v>
      </c>
      <c r="B56">
        <v>38</v>
      </c>
      <c r="C56">
        <v>547090846.6495682</v>
      </c>
      <c r="D56">
        <v>0</v>
      </c>
      <c r="F56" t="str">
        <f t="shared" si="0"/>
        <v>39 38 547090846.649568 0</v>
      </c>
    </row>
    <row r="57" spans="1:6" x14ac:dyDescent="0.3">
      <c r="A57">
        <v>40</v>
      </c>
      <c r="B57">
        <v>41</v>
      </c>
      <c r="C57">
        <v>5103826.4653000021</v>
      </c>
      <c r="D57">
        <v>0</v>
      </c>
      <c r="F57" t="str">
        <f t="shared" si="0"/>
        <v>40 41 5103826.4653 0</v>
      </c>
    </row>
    <row r="58" spans="1:6" x14ac:dyDescent="0.3">
      <c r="A58">
        <v>42</v>
      </c>
      <c r="B58">
        <v>41</v>
      </c>
      <c r="C58">
        <v>3768088.694541858</v>
      </c>
      <c r="D58">
        <v>0</v>
      </c>
      <c r="F58" t="str">
        <f t="shared" si="0"/>
        <v>42 41 3768088.69454186 0</v>
      </c>
    </row>
    <row r="59" spans="1:6" x14ac:dyDescent="0.3">
      <c r="A59">
        <v>44</v>
      </c>
      <c r="B59">
        <v>43</v>
      </c>
      <c r="C59">
        <v>72945446.219942421</v>
      </c>
      <c r="D59">
        <v>0</v>
      </c>
      <c r="F59" t="str">
        <f t="shared" si="0"/>
        <v>44 43 72945446.2199424 0</v>
      </c>
    </row>
    <row r="60" spans="1:6" x14ac:dyDescent="0.3">
      <c r="A60">
        <v>43</v>
      </c>
      <c r="B60">
        <v>42</v>
      </c>
      <c r="C60">
        <v>3907514.953081076</v>
      </c>
      <c r="D60">
        <v>0</v>
      </c>
      <c r="F60" t="str">
        <f t="shared" si="0"/>
        <v>43 42 3907514.95308108 0</v>
      </c>
    </row>
    <row r="61" spans="1:6" x14ac:dyDescent="0.3">
      <c r="A61">
        <v>43</v>
      </c>
      <c r="B61">
        <v>49</v>
      </c>
      <c r="C61">
        <v>1.5E-3</v>
      </c>
      <c r="D61">
        <v>1</v>
      </c>
      <c r="F61" t="str">
        <f t="shared" si="0"/>
        <v>43 49 0.0015 1</v>
      </c>
    </row>
    <row r="62" spans="1:6" x14ac:dyDescent="0.3">
      <c r="A62">
        <v>23</v>
      </c>
      <c r="B62">
        <v>24</v>
      </c>
      <c r="C62">
        <v>3.0000000000000001E-3</v>
      </c>
      <c r="D62">
        <v>1</v>
      </c>
      <c r="F62" t="str">
        <f t="shared" si="0"/>
        <v>23 24 0.003 1</v>
      </c>
    </row>
    <row r="63" spans="1:6" x14ac:dyDescent="0.3">
      <c r="A63">
        <v>24</v>
      </c>
      <c r="B63">
        <v>36</v>
      </c>
      <c r="C63">
        <v>3.0000000000000001E-3</v>
      </c>
      <c r="D63">
        <v>1</v>
      </c>
      <c r="F63" t="str">
        <f t="shared" si="0"/>
        <v>24 36 0.003 1</v>
      </c>
    </row>
    <row r="64" spans="1:6" x14ac:dyDescent="0.3">
      <c r="A64">
        <v>45</v>
      </c>
      <c r="B64">
        <v>51</v>
      </c>
      <c r="C64">
        <v>59942661.947104476</v>
      </c>
      <c r="D64">
        <v>0</v>
      </c>
      <c r="F64" t="str">
        <f t="shared" si="0"/>
        <v>45 51 59942661.9471045 0</v>
      </c>
    </row>
    <row r="65" spans="1:6" x14ac:dyDescent="0.3">
      <c r="A65">
        <v>48</v>
      </c>
      <c r="B65">
        <v>47</v>
      </c>
      <c r="C65">
        <v>136772821.0807364</v>
      </c>
      <c r="D65">
        <v>0</v>
      </c>
      <c r="F65" t="str">
        <f t="shared" si="0"/>
        <v>48 47 136772821.080736 0</v>
      </c>
    </row>
    <row r="66" spans="1:6" x14ac:dyDescent="0.3">
      <c r="A66">
        <v>47</v>
      </c>
      <c r="B66">
        <v>52</v>
      </c>
      <c r="C66">
        <v>2859302.359832352</v>
      </c>
      <c r="D66">
        <v>0</v>
      </c>
      <c r="F66" t="str">
        <f t="shared" si="0"/>
        <v>47 52 2859302.35983235 0</v>
      </c>
    </row>
    <row r="67" spans="1:6" x14ac:dyDescent="0.3">
      <c r="A67">
        <v>46</v>
      </c>
      <c r="B67">
        <v>47</v>
      </c>
      <c r="C67">
        <v>364727513.76394278</v>
      </c>
      <c r="D67">
        <v>0</v>
      </c>
      <c r="F67" t="str">
        <f t="shared" ref="F67:F78" si="1">CONCATENATE(A67," ",B67," ",C67," ", D67)</f>
        <v>46 47 364727513.763943 0</v>
      </c>
    </row>
    <row r="68" spans="1:6" x14ac:dyDescent="0.3">
      <c r="A68">
        <v>41</v>
      </c>
      <c r="B68">
        <v>47</v>
      </c>
      <c r="C68">
        <v>2996601.2756639579</v>
      </c>
      <c r="D68">
        <v>0</v>
      </c>
      <c r="F68" t="str">
        <f t="shared" si="1"/>
        <v>41 47 2996601.27566396 0</v>
      </c>
    </row>
    <row r="69" spans="1:6" x14ac:dyDescent="0.3">
      <c r="A69">
        <v>49</v>
      </c>
      <c r="B69">
        <v>54</v>
      </c>
      <c r="C69">
        <v>842975.11039995053</v>
      </c>
      <c r="D69">
        <v>0</v>
      </c>
      <c r="F69" t="str">
        <f t="shared" si="1"/>
        <v>49 54 842975.110399951 0</v>
      </c>
    </row>
    <row r="70" spans="1:6" x14ac:dyDescent="0.3">
      <c r="A70">
        <v>46</v>
      </c>
      <c r="B70">
        <v>39</v>
      </c>
      <c r="C70">
        <v>517791172.06042272</v>
      </c>
      <c r="D70">
        <v>0</v>
      </c>
      <c r="F70" t="str">
        <f t="shared" si="1"/>
        <v>46 39 517791172.060423 0</v>
      </c>
    </row>
    <row r="71" spans="1:6" x14ac:dyDescent="0.3">
      <c r="A71">
        <v>44</v>
      </c>
      <c r="B71">
        <v>50</v>
      </c>
      <c r="C71">
        <v>109418169.329914</v>
      </c>
      <c r="D71">
        <v>0</v>
      </c>
      <c r="F71" t="str">
        <f t="shared" si="1"/>
        <v>44 50 109418169.329914 0</v>
      </c>
    </row>
    <row r="72" spans="1:6" x14ac:dyDescent="0.3">
      <c r="A72">
        <v>51</v>
      </c>
      <c r="B72">
        <v>52</v>
      </c>
      <c r="C72">
        <v>33985441.593974687</v>
      </c>
      <c r="D72">
        <v>0</v>
      </c>
      <c r="F72" t="str">
        <f t="shared" si="1"/>
        <v>51 52 33985441.5939747 0</v>
      </c>
    </row>
    <row r="73" spans="1:6" x14ac:dyDescent="0.3">
      <c r="A73">
        <v>52</v>
      </c>
      <c r="B73">
        <v>53</v>
      </c>
      <c r="C73">
        <v>2882612.2758295429</v>
      </c>
      <c r="D73">
        <v>0</v>
      </c>
      <c r="F73" t="str">
        <f t="shared" si="1"/>
        <v>52 53 2882612.27582954 0</v>
      </c>
    </row>
    <row r="74" spans="1:6" x14ac:dyDescent="0.3">
      <c r="A74">
        <v>53</v>
      </c>
      <c r="B74">
        <v>54</v>
      </c>
      <c r="C74">
        <v>3005287.5259809778</v>
      </c>
      <c r="D74">
        <v>0</v>
      </c>
      <c r="F74" t="str">
        <f t="shared" si="1"/>
        <v>53 54 3005287.52598098 0</v>
      </c>
    </row>
    <row r="75" spans="1:6" x14ac:dyDescent="0.3">
      <c r="A75">
        <v>54</v>
      </c>
      <c r="B75">
        <v>56</v>
      </c>
      <c r="C75">
        <v>4307503.4909013482</v>
      </c>
      <c r="D75">
        <v>0</v>
      </c>
      <c r="F75" t="str">
        <f t="shared" si="1"/>
        <v>54 56 4307503.49090135 0</v>
      </c>
    </row>
    <row r="76" spans="1:6" x14ac:dyDescent="0.3">
      <c r="A76">
        <v>55</v>
      </c>
      <c r="B76">
        <v>6</v>
      </c>
      <c r="C76">
        <v>3.5000000000000001E-3</v>
      </c>
      <c r="D76">
        <v>1</v>
      </c>
      <c r="F76" t="str">
        <f t="shared" si="1"/>
        <v>55 6 0.0035 1</v>
      </c>
    </row>
    <row r="77" spans="1:6" x14ac:dyDescent="0.3">
      <c r="A77">
        <v>55</v>
      </c>
      <c r="B77">
        <v>5</v>
      </c>
      <c r="C77">
        <v>3.0000000000000001E-3</v>
      </c>
      <c r="D77">
        <v>1</v>
      </c>
      <c r="F77" t="str">
        <f t="shared" si="1"/>
        <v>55 5 0.003 1</v>
      </c>
    </row>
    <row r="78" spans="1:6" x14ac:dyDescent="0.3">
      <c r="A78">
        <v>56</v>
      </c>
      <c r="B78">
        <v>50</v>
      </c>
      <c r="C78">
        <v>317610395.27007651</v>
      </c>
      <c r="D78">
        <v>0</v>
      </c>
      <c r="F78" t="str">
        <f t="shared" si="1"/>
        <v>56 50 317610395.270077 0</v>
      </c>
    </row>
    <row r="79" spans="1:6" x14ac:dyDescent="0.3">
      <c r="A79">
        <v>56</v>
      </c>
      <c r="B79">
        <v>57</v>
      </c>
      <c r="C79">
        <v>3119853.0830460228</v>
      </c>
      <c r="D79">
        <v>0</v>
      </c>
      <c r="F79" t="str">
        <f>CONCATENATE(A79," ",B79," ",C79," ", D79)</f>
        <v>56 57 3119853.08304602 0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970D-0804-4C12-8EB6-5B9504A162D7}">
  <dimension ref="A1:G12"/>
  <sheetViews>
    <sheetView workbookViewId="0">
      <selection activeCell="F2" sqref="F2:F4"/>
    </sheetView>
  </sheetViews>
  <sheetFormatPr defaultRowHeight="14.4" x14ac:dyDescent="0.3"/>
  <cols>
    <col min="5" max="5" width="23.88671875" customWidth="1"/>
  </cols>
  <sheetData>
    <row r="1" spans="1:7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7" x14ac:dyDescent="0.3">
      <c r="A2">
        <v>49</v>
      </c>
      <c r="B2">
        <v>54</v>
      </c>
      <c r="C2">
        <v>1</v>
      </c>
      <c r="D2" s="5" t="s">
        <v>94</v>
      </c>
      <c r="E2" s="5" t="s">
        <v>31</v>
      </c>
      <c r="F2">
        <f>E2/D2</f>
        <v>907281.6694022686</v>
      </c>
    </row>
    <row r="3" spans="1:7" x14ac:dyDescent="0.3">
      <c r="A3">
        <v>54</v>
      </c>
      <c r="B3">
        <v>56</v>
      </c>
      <c r="C3">
        <v>1</v>
      </c>
      <c r="D3" s="5" t="s">
        <v>72</v>
      </c>
      <c r="E3" s="5" t="s">
        <v>36</v>
      </c>
      <c r="F3">
        <f t="shared" ref="F3:F4" si="0">E3/D3</f>
        <v>1557817.3992977799</v>
      </c>
    </row>
    <row r="4" spans="1:7" x14ac:dyDescent="0.3">
      <c r="A4">
        <v>56</v>
      </c>
      <c r="B4">
        <v>57</v>
      </c>
      <c r="C4">
        <v>1</v>
      </c>
      <c r="D4" s="5" t="s">
        <v>33</v>
      </c>
      <c r="E4" s="5" t="s">
        <v>80</v>
      </c>
      <c r="F4">
        <f t="shared" si="0"/>
        <v>1149507.5833256117</v>
      </c>
    </row>
    <row r="5" spans="1:7" x14ac:dyDescent="0.3">
      <c r="G5" t="s">
        <v>88</v>
      </c>
    </row>
    <row r="6" spans="1:7" x14ac:dyDescent="0.3">
      <c r="G6">
        <v>3</v>
      </c>
    </row>
    <row r="7" spans="1:7" x14ac:dyDescent="0.3">
      <c r="G7" t="s">
        <v>89</v>
      </c>
    </row>
    <row r="8" spans="1:7" x14ac:dyDescent="0.3">
      <c r="G8" t="s">
        <v>90</v>
      </c>
    </row>
    <row r="9" spans="1:7" x14ac:dyDescent="0.3">
      <c r="G9" t="s">
        <v>91</v>
      </c>
    </row>
    <row r="10" spans="1:7" x14ac:dyDescent="0.3">
      <c r="G10" t="s">
        <v>92</v>
      </c>
    </row>
    <row r="11" spans="1:7" x14ac:dyDescent="0.3">
      <c r="G11" t="s">
        <v>89</v>
      </c>
    </row>
    <row r="12" spans="1:7" x14ac:dyDescent="0.3">
      <c r="G1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6144-9BEE-409F-A154-662EACF93433}">
  <dimension ref="A1:F79"/>
  <sheetViews>
    <sheetView topLeftCell="A10" workbookViewId="0">
      <selection activeCell="P9" sqref="P9"/>
    </sheetView>
  </sheetViews>
  <sheetFormatPr defaultRowHeight="14.4" x14ac:dyDescent="0.3"/>
  <cols>
    <col min="3" max="3" width="16.77734375" customWidth="1"/>
  </cols>
  <sheetData>
    <row r="1" spans="1:6" x14ac:dyDescent="0.3">
      <c r="A1" s="8" t="s">
        <v>26</v>
      </c>
      <c r="B1" s="8" t="s">
        <v>27</v>
      </c>
      <c r="C1" s="8" t="s">
        <v>86</v>
      </c>
      <c r="D1" s="8" t="s">
        <v>87</v>
      </c>
    </row>
    <row r="2" spans="1:6" x14ac:dyDescent="0.3">
      <c r="A2">
        <v>4</v>
      </c>
      <c r="B2">
        <v>3</v>
      </c>
      <c r="C2">
        <v>115184776.62595519</v>
      </c>
      <c r="D2">
        <v>0</v>
      </c>
      <c r="F2" t="str">
        <f>CONCATENATE(A2," ",B2," ",C2," ", D2)</f>
        <v>4 3 115184776.625955 0</v>
      </c>
    </row>
    <row r="3" spans="1:6" x14ac:dyDescent="0.3">
      <c r="A3">
        <v>2</v>
      </c>
      <c r="B3">
        <v>1</v>
      </c>
      <c r="C3">
        <v>66508752.583755203</v>
      </c>
      <c r="D3">
        <v>0</v>
      </c>
      <c r="F3" t="str">
        <f t="shared" ref="F3:F66" si="0">CONCATENATE(A3," ",B3," ",C3," ", D3)</f>
        <v>2 1 66508752.5837552 0</v>
      </c>
    </row>
    <row r="4" spans="1:6" x14ac:dyDescent="0.3">
      <c r="A4">
        <v>2</v>
      </c>
      <c r="B4">
        <v>55</v>
      </c>
      <c r="C4">
        <v>3.8E-3</v>
      </c>
      <c r="D4">
        <v>1</v>
      </c>
      <c r="F4" t="str">
        <f t="shared" si="0"/>
        <v>2 55 0.0038 1</v>
      </c>
    </row>
    <row r="5" spans="1:6" x14ac:dyDescent="0.3">
      <c r="A5">
        <v>1</v>
      </c>
      <c r="B5">
        <v>7</v>
      </c>
      <c r="C5">
        <v>45770204.413229279</v>
      </c>
      <c r="D5">
        <v>0</v>
      </c>
      <c r="F5" t="str">
        <f t="shared" si="0"/>
        <v>1 7 45770204.4132293 0</v>
      </c>
    </row>
    <row r="6" spans="1:6" x14ac:dyDescent="0.3">
      <c r="A6">
        <v>18</v>
      </c>
      <c r="B6">
        <v>19</v>
      </c>
      <c r="C6">
        <v>27384709.643713001</v>
      </c>
      <c r="D6">
        <v>0</v>
      </c>
      <c r="F6" t="str">
        <f t="shared" si="0"/>
        <v>18 19 27384709.643713 0</v>
      </c>
    </row>
    <row r="7" spans="1:6" x14ac:dyDescent="0.3">
      <c r="A7">
        <v>5</v>
      </c>
      <c r="B7">
        <v>8</v>
      </c>
      <c r="C7">
        <v>3.0000000000000001E-3</v>
      </c>
      <c r="D7">
        <v>1</v>
      </c>
      <c r="F7" t="str">
        <f t="shared" si="0"/>
        <v>5 8 0.003 1</v>
      </c>
    </row>
    <row r="8" spans="1:6" x14ac:dyDescent="0.3">
      <c r="A8">
        <v>6</v>
      </c>
      <c r="B8">
        <v>11</v>
      </c>
      <c r="C8">
        <v>109418224.4088358</v>
      </c>
      <c r="D8">
        <v>0</v>
      </c>
      <c r="F8" t="str">
        <f t="shared" si="0"/>
        <v>6 11 109418224.408836 0</v>
      </c>
    </row>
    <row r="9" spans="1:6" x14ac:dyDescent="0.3">
      <c r="A9">
        <v>7</v>
      </c>
      <c r="B9">
        <v>8</v>
      </c>
      <c r="C9">
        <v>19036645.00163484</v>
      </c>
      <c r="D9">
        <v>0</v>
      </c>
      <c r="F9" t="str">
        <f t="shared" si="0"/>
        <v>7 8 19036645.0016348 0</v>
      </c>
    </row>
    <row r="10" spans="1:6" x14ac:dyDescent="0.3">
      <c r="A10">
        <v>8</v>
      </c>
      <c r="B10">
        <v>9</v>
      </c>
      <c r="C10">
        <v>15989381.94537043</v>
      </c>
      <c r="D10">
        <v>0</v>
      </c>
      <c r="F10" t="str">
        <f t="shared" si="0"/>
        <v>8 9 15989381.9453704 0</v>
      </c>
    </row>
    <row r="11" spans="1:6" x14ac:dyDescent="0.3">
      <c r="A11">
        <v>9</v>
      </c>
      <c r="B11">
        <v>15</v>
      </c>
      <c r="C11">
        <v>10958972.84677718</v>
      </c>
      <c r="D11">
        <v>0</v>
      </c>
      <c r="F11" t="str">
        <f t="shared" si="0"/>
        <v>9 15 10958972.8467772 0</v>
      </c>
    </row>
    <row r="12" spans="1:6" x14ac:dyDescent="0.3">
      <c r="A12">
        <v>10</v>
      </c>
      <c r="B12">
        <v>11</v>
      </c>
      <c r="C12">
        <v>106275597.3758461</v>
      </c>
      <c r="D12">
        <v>0</v>
      </c>
      <c r="F12" t="str">
        <f t="shared" si="0"/>
        <v>10 11 106275597.375846 0</v>
      </c>
    </row>
    <row r="13" spans="1:6" x14ac:dyDescent="0.3">
      <c r="A13">
        <v>10</v>
      </c>
      <c r="B13">
        <v>55</v>
      </c>
      <c r="C13">
        <v>3.0000000000000001E-3</v>
      </c>
      <c r="D13">
        <v>1</v>
      </c>
      <c r="F13" t="str">
        <f t="shared" si="0"/>
        <v>10 55 0.003 1</v>
      </c>
    </row>
    <row r="14" spans="1:6" x14ac:dyDescent="0.3">
      <c r="A14">
        <v>3</v>
      </c>
      <c r="B14">
        <v>2</v>
      </c>
      <c r="C14">
        <v>56513721.766380511</v>
      </c>
      <c r="D14">
        <v>0</v>
      </c>
      <c r="F14" t="str">
        <f t="shared" si="0"/>
        <v>3 2 56513721.7663805 0</v>
      </c>
    </row>
    <row r="15" spans="1:6" x14ac:dyDescent="0.3">
      <c r="A15">
        <v>11</v>
      </c>
      <c r="B15">
        <v>17</v>
      </c>
      <c r="C15">
        <v>9152623.8903774787</v>
      </c>
      <c r="D15">
        <v>0</v>
      </c>
      <c r="F15" t="str">
        <f t="shared" si="0"/>
        <v>11 17 9152623.89037748 0</v>
      </c>
    </row>
    <row r="16" spans="1:6" x14ac:dyDescent="0.3">
      <c r="A16">
        <v>12</v>
      </c>
      <c r="B16">
        <v>11</v>
      </c>
      <c r="C16">
        <v>68386356.29342404</v>
      </c>
      <c r="D16">
        <v>0</v>
      </c>
      <c r="F16" t="str">
        <f t="shared" si="0"/>
        <v>12 11 68386356.293424 0</v>
      </c>
    </row>
    <row r="17" spans="1:6" x14ac:dyDescent="0.3">
      <c r="A17">
        <v>13</v>
      </c>
      <c r="B17">
        <v>7</v>
      </c>
      <c r="C17">
        <v>156311725.70868951</v>
      </c>
      <c r="D17">
        <v>0</v>
      </c>
      <c r="F17" t="str">
        <f t="shared" si="0"/>
        <v>13 7 156311725.70869 0</v>
      </c>
    </row>
    <row r="18" spans="1:6" x14ac:dyDescent="0.3">
      <c r="A18">
        <v>13</v>
      </c>
      <c r="B18">
        <v>18</v>
      </c>
      <c r="C18">
        <v>156311725.18042871</v>
      </c>
      <c r="D18">
        <v>0</v>
      </c>
      <c r="F18" t="str">
        <f t="shared" si="0"/>
        <v>13 18 156311725.180429 0</v>
      </c>
    </row>
    <row r="19" spans="1:6" x14ac:dyDescent="0.3">
      <c r="A19">
        <v>14</v>
      </c>
      <c r="B19">
        <v>8</v>
      </c>
      <c r="C19">
        <v>136772766.3715184</v>
      </c>
      <c r="D19">
        <v>0</v>
      </c>
      <c r="F19" t="str">
        <f t="shared" si="0"/>
        <v>14 8 136772766.371518 0</v>
      </c>
    </row>
    <row r="20" spans="1:6" x14ac:dyDescent="0.3">
      <c r="A20">
        <v>14</v>
      </c>
      <c r="B20">
        <v>19</v>
      </c>
      <c r="C20">
        <v>136772766.3715184</v>
      </c>
      <c r="D20">
        <v>0</v>
      </c>
      <c r="F20" t="str">
        <f t="shared" si="0"/>
        <v>14 19 136772766.371518 0</v>
      </c>
    </row>
    <row r="21" spans="1:6" x14ac:dyDescent="0.3">
      <c r="A21">
        <v>15</v>
      </c>
      <c r="B21">
        <v>20</v>
      </c>
      <c r="C21">
        <v>11323916.472341601</v>
      </c>
      <c r="D21">
        <v>0</v>
      </c>
      <c r="F21" t="str">
        <f t="shared" si="0"/>
        <v>15 20 11323916.4723416 0</v>
      </c>
    </row>
    <row r="22" spans="1:6" x14ac:dyDescent="0.3">
      <c r="A22">
        <v>16</v>
      </c>
      <c r="B22">
        <v>10</v>
      </c>
      <c r="C22">
        <v>3.0000000000000001E-3</v>
      </c>
      <c r="D22">
        <v>1</v>
      </c>
      <c r="F22" t="str">
        <f t="shared" si="0"/>
        <v>16 10 0.003 1</v>
      </c>
    </row>
    <row r="23" spans="1:6" x14ac:dyDescent="0.3">
      <c r="A23">
        <v>19</v>
      </c>
      <c r="B23">
        <v>20</v>
      </c>
      <c r="C23">
        <v>20421010.259229772</v>
      </c>
      <c r="D23">
        <v>0</v>
      </c>
      <c r="F23" t="str">
        <f t="shared" si="0"/>
        <v>19 20 20421010.2592298 0</v>
      </c>
    </row>
    <row r="24" spans="1:6" x14ac:dyDescent="0.3">
      <c r="A24">
        <v>17</v>
      </c>
      <c r="B24">
        <v>22</v>
      </c>
      <c r="C24">
        <v>7668414.6312338673</v>
      </c>
      <c r="D24">
        <v>0</v>
      </c>
      <c r="F24" t="str">
        <f t="shared" si="0"/>
        <v>17 22 7668414.63123387 0</v>
      </c>
    </row>
    <row r="25" spans="1:6" x14ac:dyDescent="0.3">
      <c r="A25">
        <v>25</v>
      </c>
      <c r="B25">
        <v>18</v>
      </c>
      <c r="C25">
        <v>48124155.247951008</v>
      </c>
      <c r="D25">
        <v>0</v>
      </c>
      <c r="F25" t="str">
        <f t="shared" si="0"/>
        <v>25 18 48124155.247951 0</v>
      </c>
    </row>
    <row r="26" spans="1:6" x14ac:dyDescent="0.3">
      <c r="A26">
        <v>10</v>
      </c>
      <c r="B26">
        <v>9</v>
      </c>
      <c r="C26">
        <v>3.0000000000000001E-3</v>
      </c>
      <c r="D26">
        <v>1</v>
      </c>
      <c r="F26" t="str">
        <f t="shared" si="0"/>
        <v>10 9 0.003 1</v>
      </c>
    </row>
    <row r="27" spans="1:6" x14ac:dyDescent="0.3">
      <c r="A27">
        <v>26</v>
      </c>
      <c r="B27">
        <v>19</v>
      </c>
      <c r="C27">
        <v>547090901.3586638</v>
      </c>
      <c r="D27">
        <v>0</v>
      </c>
      <c r="F27" t="str">
        <f t="shared" si="0"/>
        <v>26 19 547090901.358664 0</v>
      </c>
    </row>
    <row r="28" spans="1:6" x14ac:dyDescent="0.3">
      <c r="A28">
        <v>20</v>
      </c>
      <c r="B28">
        <v>27</v>
      </c>
      <c r="C28">
        <v>5881164.9593932927</v>
      </c>
      <c r="D28">
        <v>0</v>
      </c>
      <c r="F28" t="str">
        <f t="shared" si="0"/>
        <v>20 27 5881164.95939329 0</v>
      </c>
    </row>
    <row r="29" spans="1:6" x14ac:dyDescent="0.3">
      <c r="A29">
        <v>21</v>
      </c>
      <c r="B29">
        <v>20</v>
      </c>
      <c r="C29">
        <v>21041955.640368011</v>
      </c>
      <c r="D29">
        <v>0</v>
      </c>
      <c r="F29" t="str">
        <f t="shared" si="0"/>
        <v>21 20 21041955.640368 0</v>
      </c>
    </row>
    <row r="30" spans="1:6" x14ac:dyDescent="0.3">
      <c r="A30">
        <v>28</v>
      </c>
      <c r="B30">
        <v>21</v>
      </c>
      <c r="C30">
        <v>273545423.3247841</v>
      </c>
      <c r="D30">
        <v>0</v>
      </c>
      <c r="F30" t="str">
        <f t="shared" si="0"/>
        <v>28 21 273545423.324784 0</v>
      </c>
    </row>
    <row r="31" spans="1:6" x14ac:dyDescent="0.3">
      <c r="A31">
        <v>22</v>
      </c>
      <c r="B31">
        <v>23</v>
      </c>
      <c r="C31">
        <v>4999671.232453417</v>
      </c>
      <c r="D31">
        <v>0</v>
      </c>
      <c r="F31" t="str">
        <f t="shared" si="0"/>
        <v>22 23 4999671.23245342 0</v>
      </c>
    </row>
    <row r="32" spans="1:6" x14ac:dyDescent="0.3">
      <c r="A32">
        <v>16</v>
      </c>
      <c r="B32">
        <v>21</v>
      </c>
      <c r="C32">
        <v>118083996.8199157</v>
      </c>
      <c r="D32">
        <v>0</v>
      </c>
      <c r="F32" t="str">
        <f t="shared" si="0"/>
        <v>16 21 118083996.819916 0</v>
      </c>
    </row>
    <row r="33" spans="1:6" x14ac:dyDescent="0.3">
      <c r="A33">
        <v>23</v>
      </c>
      <c r="B33">
        <v>35</v>
      </c>
      <c r="C33">
        <v>7442633.2671798952</v>
      </c>
      <c r="D33">
        <v>0</v>
      </c>
      <c r="F33" t="str">
        <f t="shared" si="0"/>
        <v>23 35 7442633.2671799 0</v>
      </c>
    </row>
    <row r="34" spans="1:6" x14ac:dyDescent="0.3">
      <c r="A34">
        <v>21</v>
      </c>
      <c r="B34">
        <v>22</v>
      </c>
      <c r="C34">
        <v>87301954.135746464</v>
      </c>
      <c r="D34">
        <v>0</v>
      </c>
      <c r="F34" t="str">
        <f t="shared" si="0"/>
        <v>21 22 87301954.1357465 0</v>
      </c>
    </row>
    <row r="35" spans="1:6" x14ac:dyDescent="0.3">
      <c r="A35">
        <v>33</v>
      </c>
      <c r="B35">
        <v>32</v>
      </c>
      <c r="C35">
        <v>29157931.260354701</v>
      </c>
      <c r="D35">
        <v>0</v>
      </c>
      <c r="F35" t="str">
        <f t="shared" si="0"/>
        <v>33 32 29157931.2603547 0</v>
      </c>
    </row>
    <row r="36" spans="1:6" x14ac:dyDescent="0.3">
      <c r="A36">
        <v>30</v>
      </c>
      <c r="B36">
        <v>25</v>
      </c>
      <c r="C36">
        <v>102493260.277399</v>
      </c>
      <c r="D36">
        <v>0</v>
      </c>
      <c r="F36" t="str">
        <f t="shared" si="0"/>
        <v>30 25 102493260.277399 0</v>
      </c>
    </row>
    <row r="37" spans="1:6" x14ac:dyDescent="0.3">
      <c r="A37">
        <v>49</v>
      </c>
      <c r="B37">
        <v>50</v>
      </c>
      <c r="C37">
        <v>3.0000000000000001E-3</v>
      </c>
      <c r="D37">
        <v>1</v>
      </c>
      <c r="F37" t="str">
        <f t="shared" si="0"/>
        <v>49 50 0.003 1</v>
      </c>
    </row>
    <row r="38" spans="1:6" x14ac:dyDescent="0.3">
      <c r="A38">
        <v>27</v>
      </c>
      <c r="B38">
        <v>32</v>
      </c>
      <c r="C38">
        <v>5483938.0225373851</v>
      </c>
      <c r="D38">
        <v>0</v>
      </c>
      <c r="F38" t="str">
        <f t="shared" si="0"/>
        <v>27 32 5483938.02253739 0</v>
      </c>
    </row>
    <row r="39" spans="1:6" x14ac:dyDescent="0.3">
      <c r="A39">
        <v>28</v>
      </c>
      <c r="B39">
        <v>33</v>
      </c>
      <c r="C39">
        <v>88562997.614936769</v>
      </c>
      <c r="D39">
        <v>0</v>
      </c>
      <c r="F39" t="str">
        <f t="shared" si="0"/>
        <v>28 33 88562997.6149368 0</v>
      </c>
    </row>
    <row r="40" spans="1:6" x14ac:dyDescent="0.3">
      <c r="A40">
        <v>29</v>
      </c>
      <c r="B40">
        <v>34</v>
      </c>
      <c r="C40">
        <v>177126048.3677046</v>
      </c>
      <c r="D40">
        <v>0</v>
      </c>
      <c r="F40" t="str">
        <f t="shared" si="0"/>
        <v>29 34 177126048.367705 0</v>
      </c>
    </row>
    <row r="41" spans="1:6" x14ac:dyDescent="0.3">
      <c r="A41">
        <v>29</v>
      </c>
      <c r="B41">
        <v>22</v>
      </c>
      <c r="C41">
        <v>182363670.25897419</v>
      </c>
      <c r="D41">
        <v>0</v>
      </c>
      <c r="F41" t="str">
        <f t="shared" si="0"/>
        <v>29 22 182363670.258974 0</v>
      </c>
    </row>
    <row r="42" spans="1:6" x14ac:dyDescent="0.3">
      <c r="A42">
        <v>31</v>
      </c>
      <c r="B42">
        <v>30</v>
      </c>
      <c r="C42">
        <v>390684898.90932018</v>
      </c>
      <c r="D42">
        <v>0</v>
      </c>
      <c r="F42" t="str">
        <f t="shared" si="0"/>
        <v>31 30 390684898.90932 0</v>
      </c>
    </row>
    <row r="43" spans="1:6" x14ac:dyDescent="0.3">
      <c r="A43">
        <v>31</v>
      </c>
      <c r="B43">
        <v>32</v>
      </c>
      <c r="C43">
        <v>273545423.3247841</v>
      </c>
      <c r="D43">
        <v>0</v>
      </c>
      <c r="F43" t="str">
        <f t="shared" si="0"/>
        <v>31 32 273545423.324784 0</v>
      </c>
    </row>
    <row r="44" spans="1:6" x14ac:dyDescent="0.3">
      <c r="A44">
        <v>39</v>
      </c>
      <c r="B44">
        <v>31</v>
      </c>
      <c r="C44">
        <v>1153609075.766171</v>
      </c>
      <c r="D44">
        <v>0</v>
      </c>
      <c r="F44" t="str">
        <f t="shared" si="0"/>
        <v>39 31 1153609075.76617 0</v>
      </c>
    </row>
    <row r="45" spans="1:6" x14ac:dyDescent="0.3">
      <c r="A45">
        <v>26</v>
      </c>
      <c r="B45">
        <v>31</v>
      </c>
      <c r="C45">
        <v>531378038.82742977</v>
      </c>
      <c r="D45">
        <v>0</v>
      </c>
      <c r="F45" t="str">
        <f t="shared" si="0"/>
        <v>26 31 531378038.82743 0</v>
      </c>
    </row>
    <row r="46" spans="1:6" x14ac:dyDescent="0.3">
      <c r="A46">
        <v>32</v>
      </c>
      <c r="B46">
        <v>40</v>
      </c>
      <c r="C46">
        <v>10008711.36557834</v>
      </c>
      <c r="D46">
        <v>0</v>
      </c>
      <c r="F46" t="str">
        <f t="shared" si="0"/>
        <v>32 40 10008711.3655783 0</v>
      </c>
    </row>
    <row r="47" spans="1:6" x14ac:dyDescent="0.3">
      <c r="A47">
        <v>37</v>
      </c>
      <c r="B47">
        <v>34</v>
      </c>
      <c r="C47">
        <v>88562997.813205063</v>
      </c>
      <c r="D47">
        <v>0</v>
      </c>
      <c r="F47" t="str">
        <f t="shared" si="0"/>
        <v>37 34 88562997.8132051 0</v>
      </c>
    </row>
    <row r="48" spans="1:6" x14ac:dyDescent="0.3">
      <c r="A48">
        <v>34</v>
      </c>
      <c r="B48">
        <v>33</v>
      </c>
      <c r="C48">
        <v>106275597.1379241</v>
      </c>
      <c r="D48">
        <v>0</v>
      </c>
      <c r="F48" t="str">
        <f t="shared" si="0"/>
        <v>34 33 106275597.137924 0</v>
      </c>
    </row>
    <row r="49" spans="1:6" x14ac:dyDescent="0.3">
      <c r="A49">
        <v>48</v>
      </c>
      <c r="B49">
        <v>42</v>
      </c>
      <c r="C49">
        <v>136772821.0807364</v>
      </c>
      <c r="D49">
        <v>0</v>
      </c>
      <c r="F49" t="str">
        <f t="shared" si="0"/>
        <v>48 42 136772821.080736 0</v>
      </c>
    </row>
    <row r="50" spans="1:6" x14ac:dyDescent="0.3">
      <c r="A50">
        <v>34</v>
      </c>
      <c r="B50">
        <v>35</v>
      </c>
      <c r="C50">
        <v>22140750.234012689</v>
      </c>
      <c r="D50">
        <v>0</v>
      </c>
      <c r="F50" t="str">
        <f t="shared" si="0"/>
        <v>34 35 22140750.2340127 0</v>
      </c>
    </row>
    <row r="51" spans="1:6" x14ac:dyDescent="0.3">
      <c r="A51">
        <v>35</v>
      </c>
      <c r="B51">
        <v>43</v>
      </c>
      <c r="C51">
        <v>6664939.3795792516</v>
      </c>
      <c r="D51">
        <v>0</v>
      </c>
      <c r="F51" t="str">
        <f t="shared" si="0"/>
        <v>35 43 6664939.37957925 0</v>
      </c>
    </row>
    <row r="52" spans="1:6" x14ac:dyDescent="0.3">
      <c r="A52">
        <v>36</v>
      </c>
      <c r="B52">
        <v>35</v>
      </c>
      <c r="C52">
        <v>28794255.08681941</v>
      </c>
      <c r="D52">
        <v>0</v>
      </c>
      <c r="F52" t="str">
        <f t="shared" si="0"/>
        <v>36 35 28794255.0868194 0</v>
      </c>
    </row>
    <row r="53" spans="1:6" x14ac:dyDescent="0.3">
      <c r="A53">
        <v>44</v>
      </c>
      <c r="B53">
        <v>36</v>
      </c>
      <c r="C53">
        <v>3.0000000000000001E-3</v>
      </c>
      <c r="D53">
        <v>1</v>
      </c>
      <c r="F53" t="str">
        <f t="shared" si="0"/>
        <v>44 36 0.003 1</v>
      </c>
    </row>
    <row r="54" spans="1:6" x14ac:dyDescent="0.3">
      <c r="A54">
        <v>38</v>
      </c>
      <c r="B54">
        <v>45</v>
      </c>
      <c r="C54">
        <v>131126295.7042648</v>
      </c>
      <c r="D54">
        <v>0</v>
      </c>
      <c r="F54" t="str">
        <f t="shared" si="0"/>
        <v>38 45 131126295.704265 0</v>
      </c>
    </row>
    <row r="55" spans="1:6" x14ac:dyDescent="0.3">
      <c r="A55">
        <v>39</v>
      </c>
      <c r="B55">
        <v>40</v>
      </c>
      <c r="C55">
        <v>531377985.68962061</v>
      </c>
      <c r="D55">
        <v>0</v>
      </c>
      <c r="F55" t="str">
        <f t="shared" si="0"/>
        <v>39 40 531377985.689621 0</v>
      </c>
    </row>
    <row r="56" spans="1:6" x14ac:dyDescent="0.3">
      <c r="A56">
        <v>39</v>
      </c>
      <c r="B56">
        <v>38</v>
      </c>
      <c r="C56">
        <v>547090846.6495682</v>
      </c>
      <c r="D56">
        <v>0</v>
      </c>
      <c r="F56" t="str">
        <f t="shared" si="0"/>
        <v>39 38 547090846.649568 0</v>
      </c>
    </row>
    <row r="57" spans="1:6" x14ac:dyDescent="0.3">
      <c r="A57">
        <v>40</v>
      </c>
      <c r="B57">
        <v>41</v>
      </c>
      <c r="C57">
        <v>5103826.4653000021</v>
      </c>
      <c r="D57">
        <v>0</v>
      </c>
      <c r="F57" t="str">
        <f t="shared" si="0"/>
        <v>40 41 5103826.4653 0</v>
      </c>
    </row>
    <row r="58" spans="1:6" x14ac:dyDescent="0.3">
      <c r="A58">
        <v>42</v>
      </c>
      <c r="B58">
        <v>41</v>
      </c>
      <c r="C58">
        <v>3768088.694541858</v>
      </c>
      <c r="D58">
        <v>0</v>
      </c>
      <c r="F58" t="str">
        <f t="shared" si="0"/>
        <v>42 41 3768088.69454186 0</v>
      </c>
    </row>
    <row r="59" spans="1:6" x14ac:dyDescent="0.3">
      <c r="A59">
        <v>44</v>
      </c>
      <c r="B59">
        <v>43</v>
      </c>
      <c r="C59">
        <v>72945446.219942421</v>
      </c>
      <c r="D59">
        <v>0</v>
      </c>
      <c r="F59" t="str">
        <f t="shared" si="0"/>
        <v>44 43 72945446.2199424 0</v>
      </c>
    </row>
    <row r="60" spans="1:6" x14ac:dyDescent="0.3">
      <c r="A60">
        <v>43</v>
      </c>
      <c r="B60">
        <v>42</v>
      </c>
      <c r="C60">
        <v>3907514.953081076</v>
      </c>
      <c r="D60">
        <v>0</v>
      </c>
      <c r="F60" t="str">
        <f t="shared" si="0"/>
        <v>43 42 3907514.95308108 0</v>
      </c>
    </row>
    <row r="61" spans="1:6" x14ac:dyDescent="0.3">
      <c r="A61">
        <v>43</v>
      </c>
      <c r="B61">
        <v>49</v>
      </c>
      <c r="C61">
        <v>1.5E-3</v>
      </c>
      <c r="D61">
        <v>1</v>
      </c>
      <c r="F61" t="str">
        <f t="shared" si="0"/>
        <v>43 49 0.0015 1</v>
      </c>
    </row>
    <row r="62" spans="1:6" x14ac:dyDescent="0.3">
      <c r="A62">
        <v>23</v>
      </c>
      <c r="B62">
        <v>24</v>
      </c>
      <c r="C62">
        <v>3.0000000000000001E-3</v>
      </c>
      <c r="D62">
        <v>1</v>
      </c>
      <c r="F62" t="str">
        <f t="shared" si="0"/>
        <v>23 24 0.003 1</v>
      </c>
    </row>
    <row r="63" spans="1:6" x14ac:dyDescent="0.3">
      <c r="A63">
        <v>24</v>
      </c>
      <c r="B63">
        <v>36</v>
      </c>
      <c r="C63">
        <v>3.0000000000000001E-3</v>
      </c>
      <c r="D63">
        <v>1</v>
      </c>
      <c r="F63" t="str">
        <f t="shared" si="0"/>
        <v>24 36 0.003 1</v>
      </c>
    </row>
    <row r="64" spans="1:6" x14ac:dyDescent="0.3">
      <c r="A64">
        <v>45</v>
      </c>
      <c r="B64">
        <v>51</v>
      </c>
      <c r="C64">
        <v>59942661.947104476</v>
      </c>
      <c r="D64">
        <v>0</v>
      </c>
      <c r="F64" t="str">
        <f t="shared" si="0"/>
        <v>45 51 59942661.9471045 0</v>
      </c>
    </row>
    <row r="65" spans="1:6" x14ac:dyDescent="0.3">
      <c r="A65">
        <v>48</v>
      </c>
      <c r="B65">
        <v>47</v>
      </c>
      <c r="C65">
        <v>136772821.0807364</v>
      </c>
      <c r="D65">
        <v>0</v>
      </c>
      <c r="F65" t="str">
        <f t="shared" si="0"/>
        <v>48 47 136772821.080736 0</v>
      </c>
    </row>
    <row r="66" spans="1:6" x14ac:dyDescent="0.3">
      <c r="A66">
        <v>47</v>
      </c>
      <c r="B66">
        <v>52</v>
      </c>
      <c r="C66">
        <v>2859302.359832352</v>
      </c>
      <c r="D66">
        <v>0</v>
      </c>
      <c r="F66" t="str">
        <f t="shared" si="0"/>
        <v>47 52 2859302.35983235 0</v>
      </c>
    </row>
    <row r="67" spans="1:6" x14ac:dyDescent="0.3">
      <c r="A67">
        <v>46</v>
      </c>
      <c r="B67">
        <v>47</v>
      </c>
      <c r="C67">
        <v>364727513.76394278</v>
      </c>
      <c r="D67">
        <v>0</v>
      </c>
      <c r="F67" t="str">
        <f t="shared" ref="F67:F79" si="1">CONCATENATE(A67," ",B67," ",C67," ", D67)</f>
        <v>46 47 364727513.763943 0</v>
      </c>
    </row>
    <row r="68" spans="1:6" x14ac:dyDescent="0.3">
      <c r="A68">
        <v>41</v>
      </c>
      <c r="B68">
        <v>47</v>
      </c>
      <c r="C68">
        <v>2996601.2756639579</v>
      </c>
      <c r="D68">
        <v>0</v>
      </c>
      <c r="F68" t="str">
        <f t="shared" si="1"/>
        <v>41 47 2996601.27566396 0</v>
      </c>
    </row>
    <row r="69" spans="1:6" x14ac:dyDescent="0.3">
      <c r="A69">
        <v>49</v>
      </c>
      <c r="B69">
        <v>54</v>
      </c>
      <c r="C69">
        <v>907281.6694022686</v>
      </c>
      <c r="D69">
        <v>0</v>
      </c>
      <c r="F69" t="str">
        <f t="shared" si="1"/>
        <v>49 54 907281.669402269 0</v>
      </c>
    </row>
    <row r="70" spans="1:6" x14ac:dyDescent="0.3">
      <c r="A70">
        <v>46</v>
      </c>
      <c r="B70">
        <v>39</v>
      </c>
      <c r="C70">
        <v>517791172.06042272</v>
      </c>
      <c r="D70">
        <v>0</v>
      </c>
      <c r="F70" t="str">
        <f t="shared" si="1"/>
        <v>46 39 517791172.060423 0</v>
      </c>
    </row>
    <row r="71" spans="1:6" x14ac:dyDescent="0.3">
      <c r="A71">
        <v>44</v>
      </c>
      <c r="B71">
        <v>50</v>
      </c>
      <c r="C71">
        <v>109418169.329914</v>
      </c>
      <c r="D71">
        <v>0</v>
      </c>
      <c r="F71" t="str">
        <f t="shared" si="1"/>
        <v>44 50 109418169.329914 0</v>
      </c>
    </row>
    <row r="72" spans="1:6" x14ac:dyDescent="0.3">
      <c r="A72">
        <v>51</v>
      </c>
      <c r="B72">
        <v>52</v>
      </c>
      <c r="C72">
        <v>33985441.593974687</v>
      </c>
      <c r="D72">
        <v>0</v>
      </c>
      <c r="F72" t="str">
        <f t="shared" si="1"/>
        <v>51 52 33985441.5939747 0</v>
      </c>
    </row>
    <row r="73" spans="1:6" x14ac:dyDescent="0.3">
      <c r="A73">
        <v>52</v>
      </c>
      <c r="B73">
        <v>53</v>
      </c>
      <c r="C73">
        <v>2882612.2758295429</v>
      </c>
      <c r="D73">
        <v>0</v>
      </c>
      <c r="F73" t="str">
        <f t="shared" si="1"/>
        <v>52 53 2882612.27582954 0</v>
      </c>
    </row>
    <row r="74" spans="1:6" x14ac:dyDescent="0.3">
      <c r="A74">
        <v>53</v>
      </c>
      <c r="B74">
        <v>54</v>
      </c>
      <c r="C74">
        <v>3005287.5259809778</v>
      </c>
      <c r="D74">
        <v>0</v>
      </c>
      <c r="F74" t="str">
        <f t="shared" si="1"/>
        <v>53 54 3005287.52598098 0</v>
      </c>
    </row>
    <row r="75" spans="1:6" x14ac:dyDescent="0.3">
      <c r="A75">
        <v>54</v>
      </c>
      <c r="B75">
        <v>56</v>
      </c>
      <c r="C75">
        <v>1557817.3992977811</v>
      </c>
      <c r="D75">
        <v>0</v>
      </c>
      <c r="F75" t="str">
        <f t="shared" si="1"/>
        <v>54 56 1557817.39929778 0</v>
      </c>
    </row>
    <row r="76" spans="1:6" x14ac:dyDescent="0.3">
      <c r="A76">
        <v>55</v>
      </c>
      <c r="B76">
        <v>6</v>
      </c>
      <c r="C76">
        <v>3.5000000000000001E-3</v>
      </c>
      <c r="D76">
        <v>1</v>
      </c>
      <c r="F76" t="str">
        <f t="shared" si="1"/>
        <v>55 6 0.0035 1</v>
      </c>
    </row>
    <row r="77" spans="1:6" x14ac:dyDescent="0.3">
      <c r="A77">
        <v>55</v>
      </c>
      <c r="B77">
        <v>5</v>
      </c>
      <c r="C77">
        <v>3.0000000000000001E-3</v>
      </c>
      <c r="D77">
        <v>1</v>
      </c>
      <c r="F77" t="str">
        <f t="shared" si="1"/>
        <v>55 5 0.003 1</v>
      </c>
    </row>
    <row r="78" spans="1:6" x14ac:dyDescent="0.3">
      <c r="A78">
        <v>56</v>
      </c>
      <c r="B78">
        <v>50</v>
      </c>
      <c r="C78">
        <v>317610395.27007651</v>
      </c>
      <c r="D78">
        <v>0</v>
      </c>
      <c r="F78" t="str">
        <f t="shared" si="1"/>
        <v>56 50 317610395.270077 0</v>
      </c>
    </row>
    <row r="79" spans="1:6" x14ac:dyDescent="0.3">
      <c r="A79">
        <v>56</v>
      </c>
      <c r="B79">
        <v>57</v>
      </c>
      <c r="C79">
        <v>1149507.583325614</v>
      </c>
      <c r="D79">
        <v>0</v>
      </c>
      <c r="F79" t="str">
        <f t="shared" si="1"/>
        <v>56 57 1149507.58332561 0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42C3-02D2-4C49-B015-049CEA634F26}">
  <dimension ref="A1:G55"/>
  <sheetViews>
    <sheetView workbookViewId="0">
      <selection activeCell="A2" sqref="A2:A15"/>
    </sheetView>
  </sheetViews>
  <sheetFormatPr defaultRowHeight="14.4" x14ac:dyDescent="0.3"/>
  <cols>
    <col min="1" max="1" width="17.88671875" customWidth="1"/>
    <col min="4" max="4" width="9.88671875" customWidth="1"/>
    <col min="5" max="5" width="19.33203125" customWidth="1"/>
    <col min="6" max="6" width="12" bestFit="1" customWidth="1"/>
  </cols>
  <sheetData>
    <row r="1" spans="1:6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6" x14ac:dyDescent="0.3">
      <c r="A2">
        <v>39</v>
      </c>
      <c r="B2">
        <v>38</v>
      </c>
      <c r="C2">
        <v>1</v>
      </c>
      <c r="D2">
        <v>5.0000000000000001E-4</v>
      </c>
      <c r="E2" s="5" t="s">
        <v>31</v>
      </c>
      <c r="F2">
        <f>E2/D2</f>
        <v>547090846.64956796</v>
      </c>
    </row>
    <row r="3" spans="1:6" x14ac:dyDescent="0.3">
      <c r="A3">
        <v>38</v>
      </c>
      <c r="B3">
        <v>45</v>
      </c>
      <c r="C3">
        <v>1</v>
      </c>
      <c r="D3">
        <v>3.5000000000000001E-3</v>
      </c>
      <c r="E3" s="5" t="s">
        <v>78</v>
      </c>
      <c r="F3">
        <f t="shared" ref="F3:F15" si="0">E3/D3</f>
        <v>131126295.70426457</v>
      </c>
    </row>
    <row r="4" spans="1:6" x14ac:dyDescent="0.3">
      <c r="A4">
        <v>45</v>
      </c>
      <c r="B4">
        <v>51</v>
      </c>
      <c r="C4">
        <v>1</v>
      </c>
      <c r="D4">
        <v>8.5000000000000006E-3</v>
      </c>
      <c r="E4" s="5" t="s">
        <v>79</v>
      </c>
      <c r="F4">
        <f t="shared" si="0"/>
        <v>59942661.947104469</v>
      </c>
    </row>
    <row r="5" spans="1:6" x14ac:dyDescent="0.3">
      <c r="A5">
        <v>51</v>
      </c>
      <c r="B5">
        <v>52</v>
      </c>
      <c r="C5">
        <v>1</v>
      </c>
      <c r="D5">
        <v>1.15E-2</v>
      </c>
      <c r="E5" s="5" t="s">
        <v>80</v>
      </c>
      <c r="F5">
        <f t="shared" si="0"/>
        <v>33985441.593974613</v>
      </c>
    </row>
    <row r="6" spans="1:6" x14ac:dyDescent="0.3">
      <c r="A6">
        <v>39</v>
      </c>
      <c r="B6">
        <v>46</v>
      </c>
      <c r="C6">
        <v>1</v>
      </c>
      <c r="D6">
        <v>5.0000000000000001E-4</v>
      </c>
      <c r="E6" s="5" t="s">
        <v>81</v>
      </c>
      <c r="F6">
        <f t="shared" si="0"/>
        <v>776686156.15752804</v>
      </c>
    </row>
    <row r="7" spans="1:6" x14ac:dyDescent="0.3">
      <c r="A7">
        <v>46</v>
      </c>
      <c r="B7">
        <v>47</v>
      </c>
      <c r="C7">
        <v>1</v>
      </c>
      <c r="D7">
        <v>3.5000000000000001E-3</v>
      </c>
      <c r="E7">
        <v>390684.557059218</v>
      </c>
      <c r="F7">
        <f t="shared" si="0"/>
        <v>111624159.15977657</v>
      </c>
    </row>
    <row r="8" spans="1:6" x14ac:dyDescent="0.3">
      <c r="A8">
        <v>47</v>
      </c>
      <c r="B8">
        <v>52</v>
      </c>
      <c r="C8">
        <v>1</v>
      </c>
      <c r="D8">
        <v>1.4E-2</v>
      </c>
      <c r="E8" s="5" t="s">
        <v>34</v>
      </c>
      <c r="F8">
        <f t="shared" si="0"/>
        <v>29283724.314191855</v>
      </c>
    </row>
    <row r="9" spans="1:6" x14ac:dyDescent="0.3">
      <c r="A9">
        <v>52</v>
      </c>
      <c r="B9">
        <v>53</v>
      </c>
      <c r="C9">
        <v>1</v>
      </c>
      <c r="D9" s="5" t="s">
        <v>112</v>
      </c>
      <c r="E9" s="5" t="s">
        <v>113</v>
      </c>
      <c r="F9">
        <f t="shared" si="0"/>
        <v>16565328.939891962</v>
      </c>
    </row>
    <row r="10" spans="1:6" x14ac:dyDescent="0.3">
      <c r="A10">
        <v>53</v>
      </c>
      <c r="B10">
        <v>54</v>
      </c>
      <c r="C10">
        <v>1</v>
      </c>
      <c r="D10" s="5" t="s">
        <v>112</v>
      </c>
      <c r="E10" s="5" t="s">
        <v>114</v>
      </c>
      <c r="F10">
        <f t="shared" si="0"/>
        <v>18873681.937154237</v>
      </c>
    </row>
    <row r="11" spans="1:6" x14ac:dyDescent="0.3">
      <c r="A11">
        <v>54</v>
      </c>
      <c r="B11">
        <v>56</v>
      </c>
      <c r="C11">
        <v>1</v>
      </c>
      <c r="D11" s="5" t="s">
        <v>72</v>
      </c>
      <c r="E11" s="5" t="s">
        <v>115</v>
      </c>
      <c r="F11">
        <f t="shared" si="0"/>
        <v>2099164.6249754126</v>
      </c>
    </row>
    <row r="12" spans="1:6" x14ac:dyDescent="0.3">
      <c r="A12">
        <v>56</v>
      </c>
      <c r="B12">
        <v>57</v>
      </c>
      <c r="C12">
        <v>1</v>
      </c>
      <c r="D12" s="5" t="s">
        <v>33</v>
      </c>
      <c r="E12" s="5" t="s">
        <v>116</v>
      </c>
      <c r="F12">
        <f t="shared" si="0"/>
        <v>1465456.6075254148</v>
      </c>
    </row>
    <row r="13" spans="1:6" x14ac:dyDescent="0.3">
      <c r="A13">
        <v>41</v>
      </c>
      <c r="B13">
        <v>47</v>
      </c>
      <c r="C13">
        <v>1</v>
      </c>
      <c r="D13">
        <v>1.5E-3</v>
      </c>
      <c r="E13" s="5" t="s">
        <v>31</v>
      </c>
      <c r="F13">
        <f t="shared" si="0"/>
        <v>182363615.54985598</v>
      </c>
    </row>
    <row r="14" spans="1:6" x14ac:dyDescent="0.3">
      <c r="A14">
        <v>48</v>
      </c>
      <c r="B14">
        <v>47</v>
      </c>
      <c r="C14">
        <v>1</v>
      </c>
      <c r="D14">
        <v>2E-3</v>
      </c>
      <c r="E14" s="5" t="s">
        <v>31</v>
      </c>
      <c r="F14">
        <f t="shared" si="0"/>
        <v>136772711.66239199</v>
      </c>
    </row>
    <row r="15" spans="1:6" x14ac:dyDescent="0.3">
      <c r="A15">
        <v>49</v>
      </c>
      <c r="B15">
        <v>54</v>
      </c>
      <c r="C15">
        <v>1</v>
      </c>
      <c r="D15" s="5" t="s">
        <v>94</v>
      </c>
      <c r="E15" s="5" t="s">
        <v>31</v>
      </c>
      <c r="F15">
        <f t="shared" si="0"/>
        <v>907281.6694022686</v>
      </c>
    </row>
    <row r="23" spans="7:7" x14ac:dyDescent="0.3">
      <c r="G23" t="s">
        <v>88</v>
      </c>
    </row>
    <row r="24" spans="7:7" x14ac:dyDescent="0.3">
      <c r="G24">
        <v>14</v>
      </c>
    </row>
    <row r="25" spans="7:7" x14ac:dyDescent="0.3">
      <c r="G25" t="s">
        <v>89</v>
      </c>
    </row>
    <row r="26" spans="7:7" x14ac:dyDescent="0.3">
      <c r="G26" t="s">
        <v>95</v>
      </c>
    </row>
    <row r="27" spans="7:7" x14ac:dyDescent="0.3">
      <c r="G27" t="s">
        <v>91</v>
      </c>
    </row>
    <row r="28" spans="7:7" x14ac:dyDescent="0.3">
      <c r="G28" t="s">
        <v>96</v>
      </c>
    </row>
    <row r="29" spans="7:7" x14ac:dyDescent="0.3">
      <c r="G29" t="s">
        <v>89</v>
      </c>
    </row>
    <row r="30" spans="7:7" x14ac:dyDescent="0.3">
      <c r="G30" t="s">
        <v>97</v>
      </c>
    </row>
    <row r="31" spans="7:7" x14ac:dyDescent="0.3">
      <c r="G31" t="s">
        <v>89</v>
      </c>
    </row>
    <row r="32" spans="7:7" x14ac:dyDescent="0.3">
      <c r="G32" t="s">
        <v>98</v>
      </c>
    </row>
    <row r="33" spans="7:7" x14ac:dyDescent="0.3">
      <c r="G33" t="s">
        <v>91</v>
      </c>
    </row>
    <row r="34" spans="7:7" x14ac:dyDescent="0.3">
      <c r="G34" t="s">
        <v>99</v>
      </c>
    </row>
    <row r="35" spans="7:7" x14ac:dyDescent="0.3">
      <c r="G35" t="s">
        <v>91</v>
      </c>
    </row>
    <row r="36" spans="7:7" x14ac:dyDescent="0.3">
      <c r="G36" t="s">
        <v>100</v>
      </c>
    </row>
    <row r="37" spans="7:7" x14ac:dyDescent="0.3">
      <c r="G37" t="s">
        <v>89</v>
      </c>
    </row>
    <row r="38" spans="7:7" x14ac:dyDescent="0.3">
      <c r="G38" t="s">
        <v>101</v>
      </c>
    </row>
    <row r="39" spans="7:7" x14ac:dyDescent="0.3">
      <c r="G39" t="s">
        <v>89</v>
      </c>
    </row>
    <row r="40" spans="7:7" x14ac:dyDescent="0.3">
      <c r="G40" t="s">
        <v>102</v>
      </c>
    </row>
    <row r="41" spans="7:7" x14ac:dyDescent="0.3">
      <c r="G41" t="s">
        <v>91</v>
      </c>
    </row>
    <row r="42" spans="7:7" x14ac:dyDescent="0.3">
      <c r="G42" t="s">
        <v>103</v>
      </c>
    </row>
    <row r="43" spans="7:7" x14ac:dyDescent="0.3">
      <c r="G43" t="s">
        <v>89</v>
      </c>
    </row>
    <row r="44" spans="7:7" x14ac:dyDescent="0.3">
      <c r="G44" t="s">
        <v>104</v>
      </c>
    </row>
    <row r="45" spans="7:7" x14ac:dyDescent="0.3">
      <c r="G45" t="s">
        <v>91</v>
      </c>
    </row>
    <row r="46" spans="7:7" x14ac:dyDescent="0.3">
      <c r="G46" t="s">
        <v>105</v>
      </c>
    </row>
    <row r="47" spans="7:7" x14ac:dyDescent="0.3">
      <c r="G47" t="s">
        <v>91</v>
      </c>
    </row>
    <row r="48" spans="7:7" x14ac:dyDescent="0.3">
      <c r="G48" t="s">
        <v>106</v>
      </c>
    </row>
    <row r="49" spans="7:7" x14ac:dyDescent="0.3">
      <c r="G49" t="s">
        <v>91</v>
      </c>
    </row>
    <row r="50" spans="7:7" x14ac:dyDescent="0.3">
      <c r="G50" t="s">
        <v>107</v>
      </c>
    </row>
    <row r="51" spans="7:7" x14ac:dyDescent="0.3">
      <c r="G51" t="s">
        <v>89</v>
      </c>
    </row>
    <row r="52" spans="7:7" x14ac:dyDescent="0.3">
      <c r="G52" t="s">
        <v>108</v>
      </c>
    </row>
    <row r="53" spans="7:7" x14ac:dyDescent="0.3">
      <c r="G53" t="s">
        <v>109</v>
      </c>
    </row>
    <row r="54" spans="7:7" x14ac:dyDescent="0.3">
      <c r="G54" t="s">
        <v>110</v>
      </c>
    </row>
    <row r="55" spans="7:7" x14ac:dyDescent="0.3">
      <c r="G5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7F47-614A-4E3B-99FF-BD72C789A37C}">
  <dimension ref="A1:H79"/>
  <sheetViews>
    <sheetView topLeftCell="A67" workbookViewId="0">
      <selection activeCell="H19" sqref="H19"/>
    </sheetView>
  </sheetViews>
  <sheetFormatPr defaultRowHeight="14.4" x14ac:dyDescent="0.3"/>
  <cols>
    <col min="3" max="3" width="16" customWidth="1"/>
    <col min="6" max="6" width="24" customWidth="1"/>
  </cols>
  <sheetData>
    <row r="1" spans="1:6" x14ac:dyDescent="0.3">
      <c r="A1" s="8" t="s">
        <v>26</v>
      </c>
      <c r="B1" s="8" t="s">
        <v>27</v>
      </c>
      <c r="C1" s="8" t="s">
        <v>86</v>
      </c>
      <c r="D1" s="8" t="s">
        <v>87</v>
      </c>
    </row>
    <row r="2" spans="1:6" x14ac:dyDescent="0.3">
      <c r="A2">
        <v>4</v>
      </c>
      <c r="B2">
        <v>3</v>
      </c>
      <c r="C2">
        <v>115184776.62595519</v>
      </c>
      <c r="D2">
        <v>0</v>
      </c>
      <c r="F2" t="str">
        <f>CONCATENATE(A2," ",B2," ",C2," ", D2)</f>
        <v>4 3 115184776.625955 0</v>
      </c>
    </row>
    <row r="3" spans="1:6" x14ac:dyDescent="0.3">
      <c r="A3">
        <v>2</v>
      </c>
      <c r="B3">
        <v>1</v>
      </c>
      <c r="C3">
        <v>66508752.583755203</v>
      </c>
      <c r="D3">
        <v>0</v>
      </c>
      <c r="F3" t="str">
        <f t="shared" ref="F3:F66" si="0">CONCATENATE(A3," ",B3," ",C3," ", D3)</f>
        <v>2 1 66508752.5837552 0</v>
      </c>
    </row>
    <row r="4" spans="1:6" x14ac:dyDescent="0.3">
      <c r="A4">
        <v>2</v>
      </c>
      <c r="B4">
        <v>55</v>
      </c>
      <c r="C4">
        <v>3.8E-3</v>
      </c>
      <c r="D4">
        <v>1</v>
      </c>
      <c r="F4" t="str">
        <f t="shared" si="0"/>
        <v>2 55 0.0038 1</v>
      </c>
    </row>
    <row r="5" spans="1:6" x14ac:dyDescent="0.3">
      <c r="A5">
        <v>1</v>
      </c>
      <c r="B5">
        <v>7</v>
      </c>
      <c r="C5">
        <v>45770204.413229279</v>
      </c>
      <c r="D5">
        <v>0</v>
      </c>
      <c r="F5" t="str">
        <f t="shared" si="0"/>
        <v>1 7 45770204.4132293 0</v>
      </c>
    </row>
    <row r="6" spans="1:6" x14ac:dyDescent="0.3">
      <c r="A6">
        <v>18</v>
      </c>
      <c r="B6">
        <v>19</v>
      </c>
      <c r="C6">
        <v>27384709.643713001</v>
      </c>
      <c r="D6">
        <v>0</v>
      </c>
      <c r="F6" t="str">
        <f t="shared" si="0"/>
        <v>18 19 27384709.643713 0</v>
      </c>
    </row>
    <row r="7" spans="1:6" x14ac:dyDescent="0.3">
      <c r="A7">
        <v>5</v>
      </c>
      <c r="B7">
        <v>8</v>
      </c>
      <c r="C7">
        <v>3.0000000000000001E-3</v>
      </c>
      <c r="D7">
        <v>1</v>
      </c>
      <c r="F7" t="str">
        <f t="shared" si="0"/>
        <v>5 8 0.003 1</v>
      </c>
    </row>
    <row r="8" spans="1:6" x14ac:dyDescent="0.3">
      <c r="A8">
        <v>6</v>
      </c>
      <c r="B8">
        <v>11</v>
      </c>
      <c r="C8">
        <v>109418224.4088358</v>
      </c>
      <c r="D8">
        <v>0</v>
      </c>
      <c r="F8" t="str">
        <f t="shared" si="0"/>
        <v>6 11 109418224.408836 0</v>
      </c>
    </row>
    <row r="9" spans="1:6" x14ac:dyDescent="0.3">
      <c r="A9">
        <v>7</v>
      </c>
      <c r="B9">
        <v>8</v>
      </c>
      <c r="C9">
        <v>19036645.00163484</v>
      </c>
      <c r="D9">
        <v>0</v>
      </c>
      <c r="F9" t="str">
        <f t="shared" si="0"/>
        <v>7 8 19036645.0016348 0</v>
      </c>
    </row>
    <row r="10" spans="1:6" x14ac:dyDescent="0.3">
      <c r="A10">
        <v>8</v>
      </c>
      <c r="B10">
        <v>9</v>
      </c>
      <c r="C10">
        <v>15989381.94537043</v>
      </c>
      <c r="D10">
        <v>0</v>
      </c>
      <c r="F10" t="str">
        <f t="shared" si="0"/>
        <v>8 9 15989381.9453704 0</v>
      </c>
    </row>
    <row r="11" spans="1:6" x14ac:dyDescent="0.3">
      <c r="A11">
        <v>9</v>
      </c>
      <c r="B11">
        <v>15</v>
      </c>
      <c r="C11">
        <v>10958972.84677718</v>
      </c>
      <c r="D11">
        <v>0</v>
      </c>
      <c r="F11" t="str">
        <f t="shared" si="0"/>
        <v>9 15 10958972.8467772 0</v>
      </c>
    </row>
    <row r="12" spans="1:6" x14ac:dyDescent="0.3">
      <c r="A12">
        <v>10</v>
      </c>
      <c r="B12">
        <v>11</v>
      </c>
      <c r="C12">
        <v>106275597.3758461</v>
      </c>
      <c r="D12">
        <v>0</v>
      </c>
      <c r="F12" t="str">
        <f t="shared" si="0"/>
        <v>10 11 106275597.375846 0</v>
      </c>
    </row>
    <row r="13" spans="1:6" x14ac:dyDescent="0.3">
      <c r="A13">
        <v>10</v>
      </c>
      <c r="B13">
        <v>55</v>
      </c>
      <c r="C13">
        <v>3.0000000000000001E-3</v>
      </c>
      <c r="D13">
        <v>1</v>
      </c>
      <c r="F13" t="str">
        <f t="shared" si="0"/>
        <v>10 55 0.003 1</v>
      </c>
    </row>
    <row r="14" spans="1:6" x14ac:dyDescent="0.3">
      <c r="A14">
        <v>3</v>
      </c>
      <c r="B14">
        <v>2</v>
      </c>
      <c r="C14">
        <v>56513721.766380511</v>
      </c>
      <c r="D14">
        <v>0</v>
      </c>
      <c r="F14" t="str">
        <f t="shared" si="0"/>
        <v>3 2 56513721.7663805 0</v>
      </c>
    </row>
    <row r="15" spans="1:6" x14ac:dyDescent="0.3">
      <c r="A15">
        <v>11</v>
      </c>
      <c r="B15">
        <v>17</v>
      </c>
      <c r="C15">
        <v>9152623.8903774787</v>
      </c>
      <c r="D15">
        <v>0</v>
      </c>
      <c r="F15" t="str">
        <f t="shared" si="0"/>
        <v>11 17 9152623.89037748 0</v>
      </c>
    </row>
    <row r="16" spans="1:6" x14ac:dyDescent="0.3">
      <c r="A16">
        <v>12</v>
      </c>
      <c r="B16">
        <v>11</v>
      </c>
      <c r="C16">
        <v>68386356.29342404</v>
      </c>
      <c r="D16">
        <v>0</v>
      </c>
      <c r="F16" t="str">
        <f t="shared" si="0"/>
        <v>12 11 68386356.293424 0</v>
      </c>
    </row>
    <row r="17" spans="1:8" x14ac:dyDescent="0.3">
      <c r="A17">
        <v>13</v>
      </c>
      <c r="B17">
        <v>7</v>
      </c>
      <c r="C17">
        <v>156311725.70868951</v>
      </c>
      <c r="D17">
        <v>0</v>
      </c>
      <c r="F17" t="str">
        <f t="shared" si="0"/>
        <v>13 7 156311725.70869 0</v>
      </c>
    </row>
    <row r="18" spans="1:8" x14ac:dyDescent="0.3">
      <c r="A18">
        <v>13</v>
      </c>
      <c r="B18">
        <v>18</v>
      </c>
      <c r="C18">
        <v>156311725.18042871</v>
      </c>
      <c r="D18">
        <v>0</v>
      </c>
      <c r="F18" t="str">
        <f t="shared" si="0"/>
        <v>13 18 156311725.180429 0</v>
      </c>
    </row>
    <row r="19" spans="1:8" x14ac:dyDescent="0.3">
      <c r="A19">
        <v>14</v>
      </c>
      <c r="B19">
        <v>8</v>
      </c>
      <c r="C19">
        <v>136772766.3715184</v>
      </c>
      <c r="D19">
        <v>0</v>
      </c>
      <c r="F19" t="str">
        <f t="shared" si="0"/>
        <v>14 8 136772766.371518 0</v>
      </c>
      <c r="H19" t="s">
        <v>121</v>
      </c>
    </row>
    <row r="20" spans="1:8" x14ac:dyDescent="0.3">
      <c r="A20">
        <v>14</v>
      </c>
      <c r="B20">
        <v>19</v>
      </c>
      <c r="C20">
        <v>136772766.3715184</v>
      </c>
      <c r="D20">
        <v>0</v>
      </c>
      <c r="F20" t="str">
        <f t="shared" si="0"/>
        <v>14 19 136772766.371518 0</v>
      </c>
    </row>
    <row r="21" spans="1:8" x14ac:dyDescent="0.3">
      <c r="A21">
        <v>15</v>
      </c>
      <c r="B21">
        <v>20</v>
      </c>
      <c r="C21">
        <v>11323916.472341601</v>
      </c>
      <c r="D21">
        <v>0</v>
      </c>
      <c r="F21" t="str">
        <f t="shared" si="0"/>
        <v>15 20 11323916.4723416 0</v>
      </c>
    </row>
    <row r="22" spans="1:8" x14ac:dyDescent="0.3">
      <c r="A22">
        <v>16</v>
      </c>
      <c r="B22">
        <v>10</v>
      </c>
      <c r="C22">
        <v>3.0000000000000001E-3</v>
      </c>
      <c r="D22">
        <v>1</v>
      </c>
      <c r="F22" t="str">
        <f t="shared" si="0"/>
        <v>16 10 0.003 1</v>
      </c>
    </row>
    <row r="23" spans="1:8" x14ac:dyDescent="0.3">
      <c r="A23">
        <v>19</v>
      </c>
      <c r="B23">
        <v>20</v>
      </c>
      <c r="C23">
        <v>20421010.259229772</v>
      </c>
      <c r="D23">
        <v>0</v>
      </c>
      <c r="F23" t="str">
        <f t="shared" si="0"/>
        <v>19 20 20421010.2592298 0</v>
      </c>
    </row>
    <row r="24" spans="1:8" x14ac:dyDescent="0.3">
      <c r="A24">
        <v>17</v>
      </c>
      <c r="B24">
        <v>22</v>
      </c>
      <c r="C24">
        <v>7668414.6312338673</v>
      </c>
      <c r="D24">
        <v>0</v>
      </c>
      <c r="F24" t="str">
        <f t="shared" si="0"/>
        <v>17 22 7668414.63123387 0</v>
      </c>
    </row>
    <row r="25" spans="1:8" x14ac:dyDescent="0.3">
      <c r="A25">
        <v>25</v>
      </c>
      <c r="B25">
        <v>18</v>
      </c>
      <c r="C25">
        <v>48124155.247951008</v>
      </c>
      <c r="D25">
        <v>0</v>
      </c>
      <c r="F25" t="str">
        <f t="shared" si="0"/>
        <v>25 18 48124155.247951 0</v>
      </c>
    </row>
    <row r="26" spans="1:8" x14ac:dyDescent="0.3">
      <c r="A26">
        <v>10</v>
      </c>
      <c r="B26">
        <v>9</v>
      </c>
      <c r="C26">
        <v>3.0000000000000001E-3</v>
      </c>
      <c r="D26">
        <v>1</v>
      </c>
      <c r="F26" t="str">
        <f t="shared" si="0"/>
        <v>10 9 0.003 1</v>
      </c>
    </row>
    <row r="27" spans="1:8" x14ac:dyDescent="0.3">
      <c r="A27">
        <v>26</v>
      </c>
      <c r="B27">
        <v>19</v>
      </c>
      <c r="C27">
        <v>547090901.3586638</v>
      </c>
      <c r="D27">
        <v>0</v>
      </c>
      <c r="F27" t="str">
        <f t="shared" si="0"/>
        <v>26 19 547090901.358664 0</v>
      </c>
    </row>
    <row r="28" spans="1:8" x14ac:dyDescent="0.3">
      <c r="A28">
        <v>20</v>
      </c>
      <c r="B28">
        <v>27</v>
      </c>
      <c r="C28">
        <v>5881164.9593932927</v>
      </c>
      <c r="D28">
        <v>0</v>
      </c>
      <c r="F28" t="str">
        <f t="shared" si="0"/>
        <v>20 27 5881164.95939329 0</v>
      </c>
    </row>
    <row r="29" spans="1:8" x14ac:dyDescent="0.3">
      <c r="A29">
        <v>21</v>
      </c>
      <c r="B29">
        <v>20</v>
      </c>
      <c r="C29">
        <v>21041955.640368011</v>
      </c>
      <c r="D29">
        <v>0</v>
      </c>
      <c r="F29" t="str">
        <f t="shared" si="0"/>
        <v>21 20 21041955.640368 0</v>
      </c>
    </row>
    <row r="30" spans="1:8" x14ac:dyDescent="0.3">
      <c r="A30">
        <v>28</v>
      </c>
      <c r="B30">
        <v>21</v>
      </c>
      <c r="C30">
        <v>273545423.3247841</v>
      </c>
      <c r="D30">
        <v>0</v>
      </c>
      <c r="F30" t="str">
        <f t="shared" si="0"/>
        <v>28 21 273545423.324784 0</v>
      </c>
    </row>
    <row r="31" spans="1:8" x14ac:dyDescent="0.3">
      <c r="A31">
        <v>22</v>
      </c>
      <c r="B31">
        <v>23</v>
      </c>
      <c r="C31">
        <v>4999671.232453417</v>
      </c>
      <c r="D31">
        <v>0</v>
      </c>
      <c r="F31" t="str">
        <f t="shared" si="0"/>
        <v>22 23 4999671.23245342 0</v>
      </c>
    </row>
    <row r="32" spans="1:8" x14ac:dyDescent="0.3">
      <c r="A32">
        <v>16</v>
      </c>
      <c r="B32">
        <v>21</v>
      </c>
      <c r="C32">
        <v>118083996.8199157</v>
      </c>
      <c r="D32">
        <v>0</v>
      </c>
      <c r="F32" t="str">
        <f t="shared" si="0"/>
        <v>16 21 118083996.819916 0</v>
      </c>
    </row>
    <row r="33" spans="1:6" x14ac:dyDescent="0.3">
      <c r="A33">
        <v>23</v>
      </c>
      <c r="B33">
        <v>35</v>
      </c>
      <c r="C33">
        <v>7442633.2671798952</v>
      </c>
      <c r="D33">
        <v>0</v>
      </c>
      <c r="F33" t="str">
        <f t="shared" si="0"/>
        <v>23 35 7442633.2671799 0</v>
      </c>
    </row>
    <row r="34" spans="1:6" x14ac:dyDescent="0.3">
      <c r="A34">
        <v>21</v>
      </c>
      <c r="B34">
        <v>22</v>
      </c>
      <c r="C34">
        <v>87301954.135746464</v>
      </c>
      <c r="D34">
        <v>0</v>
      </c>
      <c r="F34" t="str">
        <f t="shared" si="0"/>
        <v>21 22 87301954.1357465 0</v>
      </c>
    </row>
    <row r="35" spans="1:6" x14ac:dyDescent="0.3">
      <c r="A35">
        <v>33</v>
      </c>
      <c r="B35">
        <v>32</v>
      </c>
      <c r="C35">
        <v>29157931.260354701</v>
      </c>
      <c r="D35">
        <v>0</v>
      </c>
      <c r="F35" t="str">
        <f t="shared" si="0"/>
        <v>33 32 29157931.2603547 0</v>
      </c>
    </row>
    <row r="36" spans="1:6" x14ac:dyDescent="0.3">
      <c r="A36">
        <v>30</v>
      </c>
      <c r="B36">
        <v>25</v>
      </c>
      <c r="C36">
        <v>102493260.277399</v>
      </c>
      <c r="D36">
        <v>0</v>
      </c>
      <c r="F36" t="str">
        <f t="shared" si="0"/>
        <v>30 25 102493260.277399 0</v>
      </c>
    </row>
    <row r="37" spans="1:6" x14ac:dyDescent="0.3">
      <c r="A37">
        <v>49</v>
      </c>
      <c r="B37">
        <v>50</v>
      </c>
      <c r="C37">
        <v>3.0000000000000001E-3</v>
      </c>
      <c r="D37">
        <v>1</v>
      </c>
      <c r="F37" t="str">
        <f t="shared" si="0"/>
        <v>49 50 0.003 1</v>
      </c>
    </row>
    <row r="38" spans="1:6" x14ac:dyDescent="0.3">
      <c r="A38">
        <v>27</v>
      </c>
      <c r="B38">
        <v>32</v>
      </c>
      <c r="C38">
        <v>5483938.0225373851</v>
      </c>
      <c r="D38">
        <v>0</v>
      </c>
      <c r="F38" t="str">
        <f t="shared" si="0"/>
        <v>27 32 5483938.02253739 0</v>
      </c>
    </row>
    <row r="39" spans="1:6" x14ac:dyDescent="0.3">
      <c r="A39">
        <v>28</v>
      </c>
      <c r="B39">
        <v>33</v>
      </c>
      <c r="C39">
        <v>88562997.614936769</v>
      </c>
      <c r="D39">
        <v>0</v>
      </c>
      <c r="F39" t="str">
        <f t="shared" si="0"/>
        <v>28 33 88562997.6149368 0</v>
      </c>
    </row>
    <row r="40" spans="1:6" x14ac:dyDescent="0.3">
      <c r="A40">
        <v>29</v>
      </c>
      <c r="B40">
        <v>34</v>
      </c>
      <c r="C40">
        <v>177126048.3677046</v>
      </c>
      <c r="D40">
        <v>0</v>
      </c>
      <c r="F40" t="str">
        <f t="shared" si="0"/>
        <v>29 34 177126048.367705 0</v>
      </c>
    </row>
    <row r="41" spans="1:6" x14ac:dyDescent="0.3">
      <c r="A41">
        <v>29</v>
      </c>
      <c r="B41">
        <v>22</v>
      </c>
      <c r="C41">
        <v>182363670.25897419</v>
      </c>
      <c r="D41">
        <v>0</v>
      </c>
      <c r="F41" t="str">
        <f t="shared" si="0"/>
        <v>29 22 182363670.258974 0</v>
      </c>
    </row>
    <row r="42" spans="1:6" x14ac:dyDescent="0.3">
      <c r="A42">
        <v>31</v>
      </c>
      <c r="B42">
        <v>30</v>
      </c>
      <c r="C42">
        <v>390684898.90932018</v>
      </c>
      <c r="D42">
        <v>0</v>
      </c>
      <c r="F42" t="str">
        <f t="shared" si="0"/>
        <v>31 30 390684898.90932 0</v>
      </c>
    </row>
    <row r="43" spans="1:6" x14ac:dyDescent="0.3">
      <c r="A43">
        <v>31</v>
      </c>
      <c r="B43">
        <v>32</v>
      </c>
      <c r="C43">
        <v>273545423.3247841</v>
      </c>
      <c r="D43">
        <v>0</v>
      </c>
      <c r="F43" t="str">
        <f t="shared" si="0"/>
        <v>31 32 273545423.324784 0</v>
      </c>
    </row>
    <row r="44" spans="1:6" x14ac:dyDescent="0.3">
      <c r="A44">
        <v>39</v>
      </c>
      <c r="B44">
        <v>31</v>
      </c>
      <c r="C44">
        <v>1153609075.766171</v>
      </c>
      <c r="D44">
        <v>0</v>
      </c>
      <c r="F44" t="str">
        <f t="shared" si="0"/>
        <v>39 31 1153609075.76617 0</v>
      </c>
    </row>
    <row r="45" spans="1:6" x14ac:dyDescent="0.3">
      <c r="A45">
        <v>26</v>
      </c>
      <c r="B45">
        <v>31</v>
      </c>
      <c r="C45">
        <v>531378038.82742977</v>
      </c>
      <c r="D45">
        <v>0</v>
      </c>
      <c r="F45" t="str">
        <f t="shared" si="0"/>
        <v>26 31 531378038.82743 0</v>
      </c>
    </row>
    <row r="46" spans="1:6" x14ac:dyDescent="0.3">
      <c r="A46">
        <v>32</v>
      </c>
      <c r="B46">
        <v>40</v>
      </c>
      <c r="C46">
        <v>10008711.36557834</v>
      </c>
      <c r="D46">
        <v>0</v>
      </c>
      <c r="F46" t="str">
        <f t="shared" si="0"/>
        <v>32 40 10008711.3655783 0</v>
      </c>
    </row>
    <row r="47" spans="1:6" x14ac:dyDescent="0.3">
      <c r="A47">
        <v>37</v>
      </c>
      <c r="B47">
        <v>34</v>
      </c>
      <c r="C47">
        <v>88562997.813205063</v>
      </c>
      <c r="D47">
        <v>0</v>
      </c>
      <c r="F47" t="str">
        <f t="shared" si="0"/>
        <v>37 34 88562997.8132051 0</v>
      </c>
    </row>
    <row r="48" spans="1:6" x14ac:dyDescent="0.3">
      <c r="A48">
        <v>34</v>
      </c>
      <c r="B48">
        <v>33</v>
      </c>
      <c r="C48">
        <v>106275597.1379241</v>
      </c>
      <c r="D48">
        <v>0</v>
      </c>
      <c r="F48" t="str">
        <f t="shared" si="0"/>
        <v>34 33 106275597.137924 0</v>
      </c>
    </row>
    <row r="49" spans="1:6" x14ac:dyDescent="0.3">
      <c r="A49">
        <v>48</v>
      </c>
      <c r="B49">
        <v>42</v>
      </c>
      <c r="C49">
        <v>136772821.0807364</v>
      </c>
      <c r="D49">
        <v>0</v>
      </c>
      <c r="F49" t="str">
        <f t="shared" si="0"/>
        <v>48 42 136772821.080736 0</v>
      </c>
    </row>
    <row r="50" spans="1:6" x14ac:dyDescent="0.3">
      <c r="A50">
        <v>34</v>
      </c>
      <c r="B50">
        <v>35</v>
      </c>
      <c r="C50">
        <v>22140750.234012689</v>
      </c>
      <c r="D50">
        <v>0</v>
      </c>
      <c r="F50" t="str">
        <f t="shared" si="0"/>
        <v>34 35 22140750.2340127 0</v>
      </c>
    </row>
    <row r="51" spans="1:6" x14ac:dyDescent="0.3">
      <c r="A51">
        <v>35</v>
      </c>
      <c r="B51">
        <v>43</v>
      </c>
      <c r="C51">
        <v>6664939.3795792516</v>
      </c>
      <c r="D51">
        <v>0</v>
      </c>
      <c r="F51" t="str">
        <f t="shared" si="0"/>
        <v>35 43 6664939.37957925 0</v>
      </c>
    </row>
    <row r="52" spans="1:6" x14ac:dyDescent="0.3">
      <c r="A52">
        <v>36</v>
      </c>
      <c r="B52">
        <v>35</v>
      </c>
      <c r="C52">
        <v>28794255.08681941</v>
      </c>
      <c r="D52">
        <v>0</v>
      </c>
      <c r="F52" t="str">
        <f t="shared" si="0"/>
        <v>36 35 28794255.0868194 0</v>
      </c>
    </row>
    <row r="53" spans="1:6" x14ac:dyDescent="0.3">
      <c r="A53">
        <v>44</v>
      </c>
      <c r="B53">
        <v>36</v>
      </c>
      <c r="C53">
        <v>3.0000000000000001E-3</v>
      </c>
      <c r="D53">
        <v>1</v>
      </c>
      <c r="F53" t="str">
        <f t="shared" si="0"/>
        <v>44 36 0.003 1</v>
      </c>
    </row>
    <row r="54" spans="1:6" x14ac:dyDescent="0.3">
      <c r="A54">
        <v>38</v>
      </c>
      <c r="B54">
        <v>45</v>
      </c>
      <c r="C54">
        <v>131126295.7042648</v>
      </c>
      <c r="D54">
        <v>0</v>
      </c>
      <c r="F54" t="str">
        <f t="shared" si="0"/>
        <v>38 45 131126295.704265 0</v>
      </c>
    </row>
    <row r="55" spans="1:6" x14ac:dyDescent="0.3">
      <c r="A55">
        <v>39</v>
      </c>
      <c r="B55">
        <v>40</v>
      </c>
      <c r="C55">
        <v>531377985.68962061</v>
      </c>
      <c r="D55">
        <v>0</v>
      </c>
      <c r="F55" t="str">
        <f t="shared" si="0"/>
        <v>39 40 531377985.689621 0</v>
      </c>
    </row>
    <row r="56" spans="1:6" x14ac:dyDescent="0.3">
      <c r="A56">
        <v>39</v>
      </c>
      <c r="B56">
        <v>38</v>
      </c>
      <c r="C56">
        <v>547090846.6495682</v>
      </c>
      <c r="D56">
        <v>0</v>
      </c>
      <c r="F56" t="str">
        <f t="shared" si="0"/>
        <v>39 38 547090846.649568 0</v>
      </c>
    </row>
    <row r="57" spans="1:6" x14ac:dyDescent="0.3">
      <c r="A57">
        <v>40</v>
      </c>
      <c r="B57">
        <v>41</v>
      </c>
      <c r="C57">
        <v>5103826.4653000021</v>
      </c>
      <c r="D57">
        <v>0</v>
      </c>
      <c r="F57" t="str">
        <f t="shared" si="0"/>
        <v>40 41 5103826.4653 0</v>
      </c>
    </row>
    <row r="58" spans="1:6" x14ac:dyDescent="0.3">
      <c r="A58">
        <v>42</v>
      </c>
      <c r="B58">
        <v>41</v>
      </c>
      <c r="C58">
        <v>3768088.694541858</v>
      </c>
      <c r="D58">
        <v>0</v>
      </c>
      <c r="F58" t="str">
        <f t="shared" si="0"/>
        <v>42 41 3768088.69454186 0</v>
      </c>
    </row>
    <row r="59" spans="1:6" x14ac:dyDescent="0.3">
      <c r="A59">
        <v>44</v>
      </c>
      <c r="B59">
        <v>43</v>
      </c>
      <c r="C59">
        <v>72945446.219942421</v>
      </c>
      <c r="D59">
        <v>0</v>
      </c>
      <c r="F59" t="str">
        <f t="shared" si="0"/>
        <v>44 43 72945446.2199424 0</v>
      </c>
    </row>
    <row r="60" spans="1:6" x14ac:dyDescent="0.3">
      <c r="A60">
        <v>43</v>
      </c>
      <c r="B60">
        <v>42</v>
      </c>
      <c r="C60">
        <v>3907514.953081076</v>
      </c>
      <c r="D60">
        <v>0</v>
      </c>
      <c r="F60" t="str">
        <f t="shared" si="0"/>
        <v>43 42 3907514.95308108 0</v>
      </c>
    </row>
    <row r="61" spans="1:6" x14ac:dyDescent="0.3">
      <c r="A61">
        <v>43</v>
      </c>
      <c r="B61">
        <v>49</v>
      </c>
      <c r="C61">
        <v>1.5E-3</v>
      </c>
      <c r="D61">
        <v>1</v>
      </c>
      <c r="F61" t="str">
        <f t="shared" si="0"/>
        <v>43 49 0.0015 1</v>
      </c>
    </row>
    <row r="62" spans="1:6" x14ac:dyDescent="0.3">
      <c r="A62">
        <v>23</v>
      </c>
      <c r="B62">
        <v>24</v>
      </c>
      <c r="C62">
        <v>3.0000000000000001E-3</v>
      </c>
      <c r="D62">
        <v>1</v>
      </c>
      <c r="F62" t="str">
        <f t="shared" si="0"/>
        <v>23 24 0.003 1</v>
      </c>
    </row>
    <row r="63" spans="1:6" x14ac:dyDescent="0.3">
      <c r="A63">
        <v>24</v>
      </c>
      <c r="B63">
        <v>36</v>
      </c>
      <c r="C63">
        <v>3.0000000000000001E-3</v>
      </c>
      <c r="D63">
        <v>1</v>
      </c>
      <c r="F63" t="str">
        <f t="shared" si="0"/>
        <v>24 36 0.003 1</v>
      </c>
    </row>
    <row r="64" spans="1:6" x14ac:dyDescent="0.3">
      <c r="A64">
        <v>45</v>
      </c>
      <c r="B64">
        <v>51</v>
      </c>
      <c r="C64">
        <v>59942661.947104476</v>
      </c>
      <c r="D64">
        <v>0</v>
      </c>
      <c r="F64" t="str">
        <f t="shared" si="0"/>
        <v>45 51 59942661.9471045 0</v>
      </c>
    </row>
    <row r="65" spans="1:6" x14ac:dyDescent="0.3">
      <c r="A65">
        <v>48</v>
      </c>
      <c r="B65">
        <v>47</v>
      </c>
      <c r="C65">
        <v>136772711.66239211</v>
      </c>
      <c r="D65">
        <v>0</v>
      </c>
      <c r="F65" t="str">
        <f t="shared" si="0"/>
        <v>48 47 136772711.662392 0</v>
      </c>
    </row>
    <row r="66" spans="1:6" x14ac:dyDescent="0.3">
      <c r="A66">
        <v>47</v>
      </c>
      <c r="B66">
        <v>52</v>
      </c>
      <c r="C66">
        <v>29283724.31419187</v>
      </c>
      <c r="D66">
        <v>0</v>
      </c>
      <c r="F66" t="str">
        <f t="shared" si="0"/>
        <v>47 52 29283724.3141919 0</v>
      </c>
    </row>
    <row r="67" spans="1:6" x14ac:dyDescent="0.3">
      <c r="A67">
        <v>46</v>
      </c>
      <c r="B67">
        <v>47</v>
      </c>
      <c r="C67">
        <v>111624159.1597766</v>
      </c>
      <c r="D67">
        <v>0</v>
      </c>
      <c r="F67" t="str">
        <f t="shared" ref="F67:F79" si="1">CONCATENATE(A67," ",B67," ",C67," ", D67)</f>
        <v>46 47 111624159.159777 0</v>
      </c>
    </row>
    <row r="68" spans="1:6" x14ac:dyDescent="0.3">
      <c r="A68">
        <v>41</v>
      </c>
      <c r="B68">
        <v>47</v>
      </c>
      <c r="C68">
        <v>182363615.5498561</v>
      </c>
      <c r="D68">
        <v>0</v>
      </c>
      <c r="F68" t="str">
        <f t="shared" si="1"/>
        <v>41 47 182363615.549856 0</v>
      </c>
    </row>
    <row r="69" spans="1:6" x14ac:dyDescent="0.3">
      <c r="A69">
        <v>49</v>
      </c>
      <c r="B69">
        <v>54</v>
      </c>
      <c r="C69">
        <v>907281.6694022686</v>
      </c>
      <c r="D69">
        <v>0</v>
      </c>
      <c r="F69" t="str">
        <f t="shared" si="1"/>
        <v>49 54 907281.669402269 0</v>
      </c>
    </row>
    <row r="70" spans="1:6" x14ac:dyDescent="0.3">
      <c r="A70">
        <v>39</v>
      </c>
      <c r="B70">
        <v>46</v>
      </c>
      <c r="C70">
        <v>776686156.15752876</v>
      </c>
      <c r="D70">
        <v>0</v>
      </c>
      <c r="F70" t="str">
        <f t="shared" si="1"/>
        <v>39 46 776686156.157529 0</v>
      </c>
    </row>
    <row r="71" spans="1:6" x14ac:dyDescent="0.3">
      <c r="A71">
        <v>44</v>
      </c>
      <c r="B71">
        <v>50</v>
      </c>
      <c r="C71">
        <v>109418169.329914</v>
      </c>
      <c r="D71">
        <v>0</v>
      </c>
      <c r="F71" t="str">
        <f t="shared" si="1"/>
        <v>44 50 109418169.329914 0</v>
      </c>
    </row>
    <row r="72" spans="1:6" x14ac:dyDescent="0.3">
      <c r="A72">
        <v>51</v>
      </c>
      <c r="B72">
        <v>52</v>
      </c>
      <c r="C72">
        <v>33985441.593974687</v>
      </c>
      <c r="D72">
        <v>0</v>
      </c>
      <c r="F72" t="str">
        <f t="shared" si="1"/>
        <v>51 52 33985441.5939747 0</v>
      </c>
    </row>
    <row r="73" spans="1:6" x14ac:dyDescent="0.3">
      <c r="A73">
        <v>52</v>
      </c>
      <c r="B73">
        <v>53</v>
      </c>
      <c r="C73">
        <v>16565328.93989199</v>
      </c>
      <c r="D73">
        <v>0</v>
      </c>
      <c r="F73" t="str">
        <f t="shared" si="1"/>
        <v>52 53 16565328.939892 0</v>
      </c>
    </row>
    <row r="74" spans="1:6" x14ac:dyDescent="0.3">
      <c r="A74">
        <v>53</v>
      </c>
      <c r="B74">
        <v>54</v>
      </c>
      <c r="C74">
        <v>18873681.93715426</v>
      </c>
      <c r="D74">
        <v>0</v>
      </c>
      <c r="F74" t="str">
        <f t="shared" si="1"/>
        <v>53 54 18873681.9371543 0</v>
      </c>
    </row>
    <row r="75" spans="1:6" x14ac:dyDescent="0.3">
      <c r="A75">
        <v>54</v>
      </c>
      <c r="B75">
        <v>56</v>
      </c>
      <c r="C75">
        <v>2099164.6249754131</v>
      </c>
      <c r="D75">
        <v>0</v>
      </c>
      <c r="F75" t="str">
        <f t="shared" si="1"/>
        <v>54 56 2099164.62497541 0</v>
      </c>
    </row>
    <row r="76" spans="1:6" x14ac:dyDescent="0.3">
      <c r="A76">
        <v>55</v>
      </c>
      <c r="B76">
        <v>6</v>
      </c>
      <c r="C76">
        <v>3.5000000000000001E-3</v>
      </c>
      <c r="D76">
        <v>1</v>
      </c>
      <c r="F76" t="str">
        <f t="shared" si="1"/>
        <v>55 6 0.0035 1</v>
      </c>
    </row>
    <row r="77" spans="1:6" x14ac:dyDescent="0.3">
      <c r="A77">
        <v>55</v>
      </c>
      <c r="B77">
        <v>5</v>
      </c>
      <c r="C77">
        <v>3.0000000000000001E-3</v>
      </c>
      <c r="D77">
        <v>1</v>
      </c>
      <c r="F77" t="str">
        <f t="shared" si="1"/>
        <v>55 5 0.003 1</v>
      </c>
    </row>
    <row r="78" spans="1:6" x14ac:dyDescent="0.3">
      <c r="A78">
        <v>56</v>
      </c>
      <c r="B78">
        <v>50</v>
      </c>
      <c r="C78">
        <v>317610395.27007651</v>
      </c>
      <c r="D78">
        <v>0</v>
      </c>
      <c r="F78" t="str">
        <f t="shared" si="1"/>
        <v>56 50 317610395.270077 0</v>
      </c>
    </row>
    <row r="79" spans="1:6" x14ac:dyDescent="0.3">
      <c r="A79">
        <v>56</v>
      </c>
      <c r="B79">
        <v>57</v>
      </c>
      <c r="C79">
        <v>1465456.607525415</v>
      </c>
      <c r="D79">
        <v>0</v>
      </c>
      <c r="F79" t="str">
        <f t="shared" si="1"/>
        <v>56 57 1465456.60752542 0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4412-9742-4F8D-AF90-33E048279539}">
  <dimension ref="A1:I28"/>
  <sheetViews>
    <sheetView tabSelected="1" workbookViewId="0">
      <selection activeCell="A2" sqref="A2:A4"/>
    </sheetView>
  </sheetViews>
  <sheetFormatPr defaultRowHeight="14.4" x14ac:dyDescent="0.3"/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>
        <v>49</v>
      </c>
      <c r="B2">
        <v>54</v>
      </c>
      <c r="C2">
        <v>1</v>
      </c>
      <c r="D2" s="5" t="s">
        <v>120</v>
      </c>
      <c r="E2" s="5" t="s">
        <v>31</v>
      </c>
    </row>
    <row r="3" spans="1:5" x14ac:dyDescent="0.3">
      <c r="A3">
        <v>54</v>
      </c>
      <c r="B3">
        <v>56</v>
      </c>
      <c r="C3">
        <v>1</v>
      </c>
      <c r="D3" s="5" t="s">
        <v>72</v>
      </c>
      <c r="E3" s="5" t="s">
        <v>36</v>
      </c>
    </row>
    <row r="4" spans="1:5" x14ac:dyDescent="0.3">
      <c r="A4">
        <v>56</v>
      </c>
      <c r="B4">
        <v>57</v>
      </c>
      <c r="C4">
        <v>1</v>
      </c>
      <c r="D4" s="5" t="s">
        <v>33</v>
      </c>
      <c r="E4" s="5" t="s">
        <v>80</v>
      </c>
    </row>
    <row r="21" spans="9:9" x14ac:dyDescent="0.3">
      <c r="I21" t="s">
        <v>88</v>
      </c>
    </row>
    <row r="22" spans="9:9" x14ac:dyDescent="0.3">
      <c r="I22">
        <v>3</v>
      </c>
    </row>
    <row r="23" spans="9:9" x14ac:dyDescent="0.3">
      <c r="I23" t="s">
        <v>89</v>
      </c>
    </row>
    <row r="24" spans="9:9" x14ac:dyDescent="0.3">
      <c r="I24" t="s">
        <v>117</v>
      </c>
    </row>
    <row r="25" spans="9:9" x14ac:dyDescent="0.3">
      <c r="I25" t="s">
        <v>89</v>
      </c>
    </row>
    <row r="26" spans="9:9" x14ac:dyDescent="0.3">
      <c r="I26" t="s">
        <v>118</v>
      </c>
    </row>
    <row r="27" spans="9:9" x14ac:dyDescent="0.3">
      <c r="I27" t="s">
        <v>91</v>
      </c>
    </row>
    <row r="28" spans="9:9" x14ac:dyDescent="0.3">
      <c r="I28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69AB-EE5E-4EDE-8C88-82A08B61B6DC}">
  <dimension ref="A1:F79"/>
  <sheetViews>
    <sheetView topLeftCell="A55" workbookViewId="0">
      <selection activeCell="K69" sqref="K69"/>
    </sheetView>
  </sheetViews>
  <sheetFormatPr defaultRowHeight="14.4" x14ac:dyDescent="0.3"/>
  <cols>
    <col min="3" max="3" width="19.44140625" customWidth="1"/>
  </cols>
  <sheetData>
    <row r="1" spans="1:6" x14ac:dyDescent="0.3">
      <c r="A1" s="8" t="s">
        <v>26</v>
      </c>
      <c r="B1" s="8" t="s">
        <v>27</v>
      </c>
      <c r="C1" s="8" t="s">
        <v>86</v>
      </c>
      <c r="D1" s="8" t="s">
        <v>87</v>
      </c>
    </row>
    <row r="2" spans="1:6" x14ac:dyDescent="0.3">
      <c r="A2">
        <v>4</v>
      </c>
      <c r="B2">
        <v>3</v>
      </c>
      <c r="C2">
        <v>115184776.59999999</v>
      </c>
      <c r="D2">
        <v>0</v>
      </c>
      <c r="F2" t="str">
        <f>CONCATENATE(A2," ",B2," ",C2," ", D2)</f>
        <v>4 3 115184776.6 0</v>
      </c>
    </row>
    <row r="3" spans="1:6" x14ac:dyDescent="0.3">
      <c r="A3">
        <v>2</v>
      </c>
      <c r="B3">
        <v>1</v>
      </c>
      <c r="C3">
        <v>66508752.579999998</v>
      </c>
      <c r="D3">
        <v>0</v>
      </c>
      <c r="F3" t="str">
        <f t="shared" ref="F3:F66" si="0">CONCATENATE(A3," ",B3," ",C3," ", D3)</f>
        <v>2 1 66508752.58 0</v>
      </c>
    </row>
    <row r="4" spans="1:6" x14ac:dyDescent="0.3">
      <c r="A4">
        <v>2</v>
      </c>
      <c r="B4">
        <v>55</v>
      </c>
      <c r="C4">
        <v>3.8E-3</v>
      </c>
      <c r="D4">
        <v>1</v>
      </c>
      <c r="F4" t="str">
        <f t="shared" si="0"/>
        <v>2 55 0.0038 1</v>
      </c>
    </row>
    <row r="5" spans="1:6" x14ac:dyDescent="0.3">
      <c r="A5">
        <v>1</v>
      </c>
      <c r="B5">
        <v>7</v>
      </c>
      <c r="C5">
        <v>45770204.409999996</v>
      </c>
      <c r="D5">
        <v>0</v>
      </c>
      <c r="F5" t="str">
        <f t="shared" si="0"/>
        <v>1 7 45770204.41 0</v>
      </c>
    </row>
    <row r="6" spans="1:6" x14ac:dyDescent="0.3">
      <c r="A6">
        <v>18</v>
      </c>
      <c r="B6">
        <v>19</v>
      </c>
      <c r="C6">
        <v>27384709.640000001</v>
      </c>
      <c r="D6">
        <v>0</v>
      </c>
      <c r="F6" t="str">
        <f t="shared" si="0"/>
        <v>18 19 27384709.64 0</v>
      </c>
    </row>
    <row r="7" spans="1:6" x14ac:dyDescent="0.3">
      <c r="A7">
        <v>5</v>
      </c>
      <c r="B7">
        <v>8</v>
      </c>
      <c r="C7">
        <v>3.0000000000000001E-3</v>
      </c>
      <c r="D7">
        <v>1</v>
      </c>
      <c r="F7" t="str">
        <f t="shared" si="0"/>
        <v>5 8 0.003 1</v>
      </c>
    </row>
    <row r="8" spans="1:6" x14ac:dyDescent="0.3">
      <c r="A8">
        <v>6</v>
      </c>
      <c r="B8">
        <v>11</v>
      </c>
      <c r="C8">
        <v>109418224.40000001</v>
      </c>
      <c r="D8">
        <v>0</v>
      </c>
      <c r="F8" t="str">
        <f t="shared" si="0"/>
        <v>6 11 109418224.4 0</v>
      </c>
    </row>
    <row r="9" spans="1:6" x14ac:dyDescent="0.3">
      <c r="A9">
        <v>7</v>
      </c>
      <c r="B9">
        <v>8</v>
      </c>
      <c r="C9">
        <v>19036645</v>
      </c>
      <c r="D9">
        <v>0</v>
      </c>
      <c r="F9" t="str">
        <f t="shared" si="0"/>
        <v>7 8 19036645 0</v>
      </c>
    </row>
    <row r="10" spans="1:6" x14ac:dyDescent="0.3">
      <c r="A10">
        <v>8</v>
      </c>
      <c r="B10">
        <v>9</v>
      </c>
      <c r="C10">
        <v>15989381.949999999</v>
      </c>
      <c r="D10">
        <v>0</v>
      </c>
      <c r="F10" t="str">
        <f t="shared" si="0"/>
        <v>8 9 15989381.95 0</v>
      </c>
    </row>
    <row r="11" spans="1:6" x14ac:dyDescent="0.3">
      <c r="A11">
        <v>9</v>
      </c>
      <c r="B11">
        <v>15</v>
      </c>
      <c r="C11">
        <v>10958972.85</v>
      </c>
      <c r="D11">
        <v>0</v>
      </c>
      <c r="F11" t="str">
        <f t="shared" si="0"/>
        <v>9 15 10958972.85 0</v>
      </c>
    </row>
    <row r="12" spans="1:6" x14ac:dyDescent="0.3">
      <c r="A12">
        <v>10</v>
      </c>
      <c r="B12">
        <v>11</v>
      </c>
      <c r="C12">
        <v>106275597.40000001</v>
      </c>
      <c r="D12">
        <v>0</v>
      </c>
      <c r="F12" t="str">
        <f t="shared" si="0"/>
        <v>10 11 106275597.4 0</v>
      </c>
    </row>
    <row r="13" spans="1:6" x14ac:dyDescent="0.3">
      <c r="A13">
        <v>10</v>
      </c>
      <c r="B13">
        <v>55</v>
      </c>
      <c r="C13">
        <v>3.0000000000000001E-3</v>
      </c>
      <c r="D13">
        <v>1</v>
      </c>
      <c r="F13" t="str">
        <f t="shared" si="0"/>
        <v>10 55 0.003 1</v>
      </c>
    </row>
    <row r="14" spans="1:6" x14ac:dyDescent="0.3">
      <c r="A14">
        <v>3</v>
      </c>
      <c r="B14">
        <v>2</v>
      </c>
      <c r="C14">
        <v>56513721.770000003</v>
      </c>
      <c r="D14">
        <v>0</v>
      </c>
      <c r="F14" t="str">
        <f t="shared" si="0"/>
        <v>3 2 56513721.77 0</v>
      </c>
    </row>
    <row r="15" spans="1:6" x14ac:dyDescent="0.3">
      <c r="A15">
        <v>11</v>
      </c>
      <c r="B15">
        <v>17</v>
      </c>
      <c r="C15">
        <v>9152623.8900000006</v>
      </c>
      <c r="D15">
        <v>0</v>
      </c>
      <c r="F15" t="str">
        <f t="shared" si="0"/>
        <v>11 17 9152623.89 0</v>
      </c>
    </row>
    <row r="16" spans="1:6" x14ac:dyDescent="0.3">
      <c r="A16">
        <v>12</v>
      </c>
      <c r="B16">
        <v>11</v>
      </c>
      <c r="C16">
        <v>68386356.290000007</v>
      </c>
      <c r="D16">
        <v>0</v>
      </c>
      <c r="F16" t="str">
        <f t="shared" si="0"/>
        <v>12 11 68386356.29 0</v>
      </c>
    </row>
    <row r="17" spans="1:6" x14ac:dyDescent="0.3">
      <c r="A17">
        <v>13</v>
      </c>
      <c r="B17">
        <v>7</v>
      </c>
      <c r="C17">
        <v>156311725.69999999</v>
      </c>
      <c r="D17">
        <v>0</v>
      </c>
      <c r="F17" t="str">
        <f t="shared" si="0"/>
        <v>13 7 156311725.7 0</v>
      </c>
    </row>
    <row r="18" spans="1:6" x14ac:dyDescent="0.3">
      <c r="A18">
        <v>13</v>
      </c>
      <c r="B18">
        <v>18</v>
      </c>
      <c r="C18">
        <v>156311725.19999999</v>
      </c>
      <c r="D18">
        <v>0</v>
      </c>
      <c r="F18" t="str">
        <f t="shared" si="0"/>
        <v>13 18 156311725.2 0</v>
      </c>
    </row>
    <row r="19" spans="1:6" x14ac:dyDescent="0.3">
      <c r="A19">
        <v>14</v>
      </c>
      <c r="B19">
        <v>8</v>
      </c>
      <c r="C19">
        <v>136772766.40000001</v>
      </c>
      <c r="D19">
        <v>0</v>
      </c>
      <c r="F19" t="str">
        <f t="shared" si="0"/>
        <v>14 8 136772766.4 0</v>
      </c>
    </row>
    <row r="20" spans="1:6" x14ac:dyDescent="0.3">
      <c r="A20">
        <v>14</v>
      </c>
      <c r="B20">
        <v>19</v>
      </c>
      <c r="C20">
        <v>136772766.40000001</v>
      </c>
      <c r="D20">
        <v>0</v>
      </c>
      <c r="F20" t="str">
        <f t="shared" si="0"/>
        <v>14 19 136772766.4 0</v>
      </c>
    </row>
    <row r="21" spans="1:6" x14ac:dyDescent="0.3">
      <c r="A21">
        <v>15</v>
      </c>
      <c r="B21">
        <v>20</v>
      </c>
      <c r="C21">
        <v>11323916.470000001</v>
      </c>
      <c r="D21">
        <v>0</v>
      </c>
      <c r="F21" t="str">
        <f t="shared" si="0"/>
        <v>15 20 11323916.47 0</v>
      </c>
    </row>
    <row r="22" spans="1:6" x14ac:dyDescent="0.3">
      <c r="A22">
        <v>16</v>
      </c>
      <c r="B22">
        <v>10</v>
      </c>
      <c r="C22">
        <v>3.0000000000000001E-3</v>
      </c>
      <c r="D22">
        <v>1</v>
      </c>
      <c r="F22" t="str">
        <f t="shared" si="0"/>
        <v>16 10 0.003 1</v>
      </c>
    </row>
    <row r="23" spans="1:6" x14ac:dyDescent="0.3">
      <c r="A23">
        <v>19</v>
      </c>
      <c r="B23">
        <v>20</v>
      </c>
      <c r="C23">
        <v>20421010.260000002</v>
      </c>
      <c r="D23">
        <v>0</v>
      </c>
      <c r="F23" t="str">
        <f t="shared" si="0"/>
        <v>19 20 20421010.26 0</v>
      </c>
    </row>
    <row r="24" spans="1:6" x14ac:dyDescent="0.3">
      <c r="A24">
        <v>17</v>
      </c>
      <c r="B24">
        <v>22</v>
      </c>
      <c r="C24">
        <v>7668414.6310000001</v>
      </c>
      <c r="D24">
        <v>0</v>
      </c>
      <c r="F24" t="str">
        <f t="shared" si="0"/>
        <v>17 22 7668414.631 0</v>
      </c>
    </row>
    <row r="25" spans="1:6" x14ac:dyDescent="0.3">
      <c r="A25">
        <v>25</v>
      </c>
      <c r="B25">
        <v>18</v>
      </c>
      <c r="C25">
        <v>48124155.25</v>
      </c>
      <c r="D25">
        <v>0</v>
      </c>
      <c r="F25" t="str">
        <f t="shared" si="0"/>
        <v>25 18 48124155.25 0</v>
      </c>
    </row>
    <row r="26" spans="1:6" x14ac:dyDescent="0.3">
      <c r="A26">
        <v>10</v>
      </c>
      <c r="B26">
        <v>9</v>
      </c>
      <c r="C26">
        <v>3.0000000000000001E-3</v>
      </c>
      <c r="D26">
        <v>1</v>
      </c>
      <c r="F26" t="str">
        <f t="shared" si="0"/>
        <v>10 9 0.003 1</v>
      </c>
    </row>
    <row r="27" spans="1:6" x14ac:dyDescent="0.3">
      <c r="A27">
        <v>26</v>
      </c>
      <c r="B27">
        <v>19</v>
      </c>
      <c r="C27">
        <v>547090901.39999998</v>
      </c>
      <c r="D27">
        <v>0</v>
      </c>
      <c r="F27" t="str">
        <f t="shared" si="0"/>
        <v>26 19 547090901.4 0</v>
      </c>
    </row>
    <row r="28" spans="1:6" x14ac:dyDescent="0.3">
      <c r="A28">
        <v>20</v>
      </c>
      <c r="B28">
        <v>27</v>
      </c>
      <c r="C28">
        <v>5881164.9589999998</v>
      </c>
      <c r="D28">
        <v>0</v>
      </c>
      <c r="F28" t="str">
        <f t="shared" si="0"/>
        <v>20 27 5881164.959 0</v>
      </c>
    </row>
    <row r="29" spans="1:6" x14ac:dyDescent="0.3">
      <c r="A29">
        <v>21</v>
      </c>
      <c r="B29">
        <v>20</v>
      </c>
      <c r="C29">
        <v>21041955.640000001</v>
      </c>
      <c r="D29">
        <v>0</v>
      </c>
      <c r="F29" t="str">
        <f t="shared" si="0"/>
        <v>21 20 21041955.64 0</v>
      </c>
    </row>
    <row r="30" spans="1:6" x14ac:dyDescent="0.3">
      <c r="A30">
        <v>28</v>
      </c>
      <c r="B30">
        <v>21</v>
      </c>
      <c r="C30">
        <v>273545423.30000001</v>
      </c>
      <c r="D30">
        <v>0</v>
      </c>
      <c r="F30" t="str">
        <f t="shared" si="0"/>
        <v>28 21 273545423.3 0</v>
      </c>
    </row>
    <row r="31" spans="1:6" x14ac:dyDescent="0.3">
      <c r="A31">
        <v>22</v>
      </c>
      <c r="B31">
        <v>23</v>
      </c>
      <c r="C31">
        <v>4999671.2319999998</v>
      </c>
      <c r="D31">
        <v>0</v>
      </c>
      <c r="F31" t="str">
        <f t="shared" si="0"/>
        <v>22 23 4999671.232 0</v>
      </c>
    </row>
    <row r="32" spans="1:6" x14ac:dyDescent="0.3">
      <c r="A32">
        <v>16</v>
      </c>
      <c r="B32">
        <v>21</v>
      </c>
      <c r="C32">
        <v>118083996.8</v>
      </c>
      <c r="D32">
        <v>0</v>
      </c>
      <c r="F32" t="str">
        <f t="shared" si="0"/>
        <v>16 21 118083996.8 0</v>
      </c>
    </row>
    <row r="33" spans="1:6" x14ac:dyDescent="0.3">
      <c r="A33">
        <v>23</v>
      </c>
      <c r="B33">
        <v>35</v>
      </c>
      <c r="C33">
        <v>7442633.267</v>
      </c>
      <c r="D33">
        <v>0</v>
      </c>
      <c r="F33" t="str">
        <f t="shared" si="0"/>
        <v>23 35 7442633.267 0</v>
      </c>
    </row>
    <row r="34" spans="1:6" x14ac:dyDescent="0.3">
      <c r="A34">
        <v>21</v>
      </c>
      <c r="B34">
        <v>22</v>
      </c>
      <c r="C34">
        <v>87301954.140000001</v>
      </c>
      <c r="D34">
        <v>0</v>
      </c>
      <c r="F34" t="str">
        <f t="shared" si="0"/>
        <v>21 22 87301954.14 0</v>
      </c>
    </row>
    <row r="35" spans="1:6" x14ac:dyDescent="0.3">
      <c r="A35">
        <v>33</v>
      </c>
      <c r="B35">
        <v>32</v>
      </c>
      <c r="C35">
        <v>29157931.260000002</v>
      </c>
      <c r="D35">
        <v>0</v>
      </c>
      <c r="F35" t="str">
        <f t="shared" si="0"/>
        <v>33 32 29157931.26 0</v>
      </c>
    </row>
    <row r="36" spans="1:6" x14ac:dyDescent="0.3">
      <c r="A36">
        <v>30</v>
      </c>
      <c r="B36">
        <v>25</v>
      </c>
      <c r="C36">
        <v>102493260.3</v>
      </c>
      <c r="D36">
        <v>0</v>
      </c>
      <c r="F36" t="str">
        <f t="shared" si="0"/>
        <v>30 25 102493260.3 0</v>
      </c>
    </row>
    <row r="37" spans="1:6" x14ac:dyDescent="0.3">
      <c r="A37">
        <v>49</v>
      </c>
      <c r="B37">
        <v>50</v>
      </c>
      <c r="C37">
        <v>3.0000000000000001E-3</v>
      </c>
      <c r="D37">
        <v>1</v>
      </c>
      <c r="F37" t="str">
        <f t="shared" si="0"/>
        <v>49 50 0.003 1</v>
      </c>
    </row>
    <row r="38" spans="1:6" x14ac:dyDescent="0.3">
      <c r="A38">
        <v>27</v>
      </c>
      <c r="B38">
        <v>32</v>
      </c>
      <c r="C38">
        <v>5483938.023</v>
      </c>
      <c r="D38">
        <v>0</v>
      </c>
      <c r="F38" t="str">
        <f t="shared" si="0"/>
        <v>27 32 5483938.023 0</v>
      </c>
    </row>
    <row r="39" spans="1:6" x14ac:dyDescent="0.3">
      <c r="A39">
        <v>28</v>
      </c>
      <c r="B39">
        <v>33</v>
      </c>
      <c r="C39">
        <v>88562997.609999999</v>
      </c>
      <c r="D39">
        <v>0</v>
      </c>
      <c r="F39" t="str">
        <f t="shared" si="0"/>
        <v>28 33 88562997.61 0</v>
      </c>
    </row>
    <row r="40" spans="1:6" x14ac:dyDescent="0.3">
      <c r="A40">
        <v>29</v>
      </c>
      <c r="B40">
        <v>34</v>
      </c>
      <c r="C40">
        <v>177126048.40000001</v>
      </c>
      <c r="D40">
        <v>0</v>
      </c>
      <c r="F40" t="str">
        <f t="shared" si="0"/>
        <v>29 34 177126048.4 0</v>
      </c>
    </row>
    <row r="41" spans="1:6" x14ac:dyDescent="0.3">
      <c r="A41">
        <v>29</v>
      </c>
      <c r="B41">
        <v>22</v>
      </c>
      <c r="C41">
        <v>182363670.30000001</v>
      </c>
      <c r="D41">
        <v>0</v>
      </c>
      <c r="F41" t="str">
        <f t="shared" si="0"/>
        <v>29 22 182363670.3 0</v>
      </c>
    </row>
    <row r="42" spans="1:6" x14ac:dyDescent="0.3">
      <c r="A42">
        <v>31</v>
      </c>
      <c r="B42">
        <v>30</v>
      </c>
      <c r="C42">
        <v>390684898.89999998</v>
      </c>
      <c r="D42">
        <v>0</v>
      </c>
      <c r="F42" t="str">
        <f t="shared" si="0"/>
        <v>31 30 390684898.9 0</v>
      </c>
    </row>
    <row r="43" spans="1:6" x14ac:dyDescent="0.3">
      <c r="A43">
        <v>31</v>
      </c>
      <c r="B43">
        <v>32</v>
      </c>
      <c r="C43">
        <v>273545423.30000001</v>
      </c>
      <c r="D43">
        <v>0</v>
      </c>
      <c r="F43" t="str">
        <f t="shared" si="0"/>
        <v>31 32 273545423.3 0</v>
      </c>
    </row>
    <row r="44" spans="1:6" x14ac:dyDescent="0.3">
      <c r="A44">
        <v>39</v>
      </c>
      <c r="B44">
        <v>31</v>
      </c>
      <c r="C44">
        <v>1153609076</v>
      </c>
      <c r="D44">
        <v>0</v>
      </c>
      <c r="F44" t="str">
        <f t="shared" si="0"/>
        <v>39 31 1153609076 0</v>
      </c>
    </row>
    <row r="45" spans="1:6" x14ac:dyDescent="0.3">
      <c r="A45">
        <v>26</v>
      </c>
      <c r="B45">
        <v>31</v>
      </c>
      <c r="C45">
        <v>531378038.80000001</v>
      </c>
      <c r="D45">
        <v>0</v>
      </c>
      <c r="F45" t="str">
        <f t="shared" si="0"/>
        <v>26 31 531378038.8 0</v>
      </c>
    </row>
    <row r="46" spans="1:6" x14ac:dyDescent="0.3">
      <c r="A46">
        <v>32</v>
      </c>
      <c r="B46">
        <v>40</v>
      </c>
      <c r="C46">
        <v>10008711.369999999</v>
      </c>
      <c r="D46">
        <v>0</v>
      </c>
      <c r="F46" t="str">
        <f t="shared" si="0"/>
        <v>32 40 10008711.37 0</v>
      </c>
    </row>
    <row r="47" spans="1:6" x14ac:dyDescent="0.3">
      <c r="A47">
        <v>37</v>
      </c>
      <c r="B47">
        <v>34</v>
      </c>
      <c r="C47">
        <v>88562997.810000002</v>
      </c>
      <c r="D47">
        <v>0</v>
      </c>
      <c r="F47" t="str">
        <f t="shared" si="0"/>
        <v>37 34 88562997.81 0</v>
      </c>
    </row>
    <row r="48" spans="1:6" x14ac:dyDescent="0.3">
      <c r="A48">
        <v>34</v>
      </c>
      <c r="B48">
        <v>33</v>
      </c>
      <c r="C48">
        <v>106275597.09999999</v>
      </c>
      <c r="D48">
        <v>0</v>
      </c>
      <c r="F48" t="str">
        <f t="shared" si="0"/>
        <v>34 33 106275597.1 0</v>
      </c>
    </row>
    <row r="49" spans="1:6" x14ac:dyDescent="0.3">
      <c r="A49">
        <v>48</v>
      </c>
      <c r="B49">
        <v>42</v>
      </c>
      <c r="C49">
        <v>136772821.09999999</v>
      </c>
      <c r="D49">
        <v>0</v>
      </c>
      <c r="F49" t="str">
        <f t="shared" si="0"/>
        <v>48 42 136772821.1 0</v>
      </c>
    </row>
    <row r="50" spans="1:6" x14ac:dyDescent="0.3">
      <c r="A50">
        <v>34</v>
      </c>
      <c r="B50">
        <v>35</v>
      </c>
      <c r="C50">
        <v>22140750.23</v>
      </c>
      <c r="D50">
        <v>0</v>
      </c>
      <c r="F50" t="str">
        <f t="shared" si="0"/>
        <v>34 35 22140750.23 0</v>
      </c>
    </row>
    <row r="51" spans="1:6" x14ac:dyDescent="0.3">
      <c r="A51">
        <v>35</v>
      </c>
      <c r="B51">
        <v>43</v>
      </c>
      <c r="C51">
        <v>6664939.3799999999</v>
      </c>
      <c r="D51">
        <v>0</v>
      </c>
      <c r="F51" t="str">
        <f t="shared" si="0"/>
        <v>35 43 6664939.38 0</v>
      </c>
    </row>
    <row r="52" spans="1:6" x14ac:dyDescent="0.3">
      <c r="A52">
        <v>36</v>
      </c>
      <c r="B52">
        <v>35</v>
      </c>
      <c r="C52">
        <v>28794255.09</v>
      </c>
      <c r="D52">
        <v>0</v>
      </c>
      <c r="F52" t="str">
        <f t="shared" si="0"/>
        <v>36 35 28794255.09 0</v>
      </c>
    </row>
    <row r="53" spans="1:6" x14ac:dyDescent="0.3">
      <c r="A53">
        <v>44</v>
      </c>
      <c r="B53">
        <v>36</v>
      </c>
      <c r="C53">
        <v>3.0000000000000001E-3</v>
      </c>
      <c r="D53">
        <v>1</v>
      </c>
      <c r="F53" t="str">
        <f t="shared" si="0"/>
        <v>44 36 0.003 1</v>
      </c>
    </row>
    <row r="54" spans="1:6" x14ac:dyDescent="0.3">
      <c r="A54">
        <v>38</v>
      </c>
      <c r="B54">
        <v>45</v>
      </c>
      <c r="C54">
        <v>131126295.7</v>
      </c>
      <c r="D54">
        <v>0</v>
      </c>
      <c r="F54" t="str">
        <f t="shared" si="0"/>
        <v>38 45 131126295.7 0</v>
      </c>
    </row>
    <row r="55" spans="1:6" x14ac:dyDescent="0.3">
      <c r="A55">
        <v>39</v>
      </c>
      <c r="B55">
        <v>40</v>
      </c>
      <c r="C55">
        <v>531377985.69999999</v>
      </c>
      <c r="D55">
        <v>0</v>
      </c>
      <c r="F55" t="str">
        <f t="shared" si="0"/>
        <v>39 40 531377985.7 0</v>
      </c>
    </row>
    <row r="56" spans="1:6" x14ac:dyDescent="0.3">
      <c r="A56">
        <v>39</v>
      </c>
      <c r="B56">
        <v>38</v>
      </c>
      <c r="C56">
        <v>547090846.60000002</v>
      </c>
      <c r="D56">
        <v>0</v>
      </c>
      <c r="F56" t="str">
        <f t="shared" si="0"/>
        <v>39 38 547090846.6 0</v>
      </c>
    </row>
    <row r="57" spans="1:6" x14ac:dyDescent="0.3">
      <c r="A57">
        <v>40</v>
      </c>
      <c r="B57">
        <v>41</v>
      </c>
      <c r="C57">
        <v>5103826.4649999999</v>
      </c>
      <c r="D57">
        <v>0</v>
      </c>
      <c r="F57" t="str">
        <f t="shared" si="0"/>
        <v>40 41 5103826.465 0</v>
      </c>
    </row>
    <row r="58" spans="1:6" x14ac:dyDescent="0.3">
      <c r="A58">
        <v>42</v>
      </c>
      <c r="B58">
        <v>41</v>
      </c>
      <c r="C58">
        <v>3768088.6949999998</v>
      </c>
      <c r="D58">
        <v>0</v>
      </c>
      <c r="F58" t="str">
        <f t="shared" si="0"/>
        <v>42 41 3768088.695 0</v>
      </c>
    </row>
    <row r="59" spans="1:6" x14ac:dyDescent="0.3">
      <c r="A59">
        <v>44</v>
      </c>
      <c r="B59">
        <v>43</v>
      </c>
      <c r="C59">
        <v>72945446.219999999</v>
      </c>
      <c r="D59">
        <v>0</v>
      </c>
      <c r="F59" t="str">
        <f t="shared" si="0"/>
        <v>44 43 72945446.22 0</v>
      </c>
    </row>
    <row r="60" spans="1:6" x14ac:dyDescent="0.3">
      <c r="A60">
        <v>43</v>
      </c>
      <c r="B60">
        <v>42</v>
      </c>
      <c r="C60">
        <v>3907514.9530000002</v>
      </c>
      <c r="D60">
        <v>0</v>
      </c>
      <c r="F60" t="str">
        <f t="shared" si="0"/>
        <v>43 42 3907514.953 0</v>
      </c>
    </row>
    <row r="61" spans="1:6" x14ac:dyDescent="0.3">
      <c r="A61">
        <v>43</v>
      </c>
      <c r="B61">
        <v>49</v>
      </c>
      <c r="C61">
        <v>1.5E-3</v>
      </c>
      <c r="D61">
        <v>1</v>
      </c>
      <c r="F61" t="str">
        <f t="shared" si="0"/>
        <v>43 49 0.0015 1</v>
      </c>
    </row>
    <row r="62" spans="1:6" x14ac:dyDescent="0.3">
      <c r="A62">
        <v>23</v>
      </c>
      <c r="B62">
        <v>24</v>
      </c>
      <c r="C62">
        <v>3.0000000000000001E-3</v>
      </c>
      <c r="D62">
        <v>1</v>
      </c>
      <c r="F62" t="str">
        <f t="shared" si="0"/>
        <v>23 24 0.003 1</v>
      </c>
    </row>
    <row r="63" spans="1:6" x14ac:dyDescent="0.3">
      <c r="A63">
        <v>24</v>
      </c>
      <c r="B63">
        <v>36</v>
      </c>
      <c r="C63">
        <v>3.0000000000000001E-3</v>
      </c>
      <c r="D63">
        <v>1</v>
      </c>
      <c r="F63" t="str">
        <f t="shared" si="0"/>
        <v>24 36 0.003 1</v>
      </c>
    </row>
    <row r="64" spans="1:6" x14ac:dyDescent="0.3">
      <c r="A64">
        <v>45</v>
      </c>
      <c r="B64">
        <v>51</v>
      </c>
      <c r="C64">
        <v>59942661.950000003</v>
      </c>
      <c r="D64">
        <v>0</v>
      </c>
      <c r="F64" t="str">
        <f t="shared" si="0"/>
        <v>45 51 59942661.95 0</v>
      </c>
    </row>
    <row r="65" spans="1:6" x14ac:dyDescent="0.3">
      <c r="A65">
        <v>48</v>
      </c>
      <c r="B65">
        <v>47</v>
      </c>
      <c r="C65">
        <v>136772711.69999999</v>
      </c>
      <c r="D65">
        <v>0</v>
      </c>
      <c r="F65" t="str">
        <f t="shared" si="0"/>
        <v>48 47 136772711.7 0</v>
      </c>
    </row>
    <row r="66" spans="1:6" x14ac:dyDescent="0.3">
      <c r="A66">
        <v>47</v>
      </c>
      <c r="B66">
        <v>52</v>
      </c>
      <c r="C66">
        <v>29283724.309999999</v>
      </c>
      <c r="D66">
        <v>0</v>
      </c>
      <c r="F66" t="str">
        <f t="shared" si="0"/>
        <v>47 52 29283724.31 0</v>
      </c>
    </row>
    <row r="67" spans="1:6" x14ac:dyDescent="0.3">
      <c r="A67">
        <v>46</v>
      </c>
      <c r="B67">
        <v>47</v>
      </c>
      <c r="C67">
        <v>111624159.2</v>
      </c>
      <c r="D67">
        <v>0</v>
      </c>
      <c r="F67" t="str">
        <f t="shared" ref="F67:F79" si="1">CONCATENATE(A67," ",B67," ",C67," ", D67)</f>
        <v>46 47 111624159.2 0</v>
      </c>
    </row>
    <row r="68" spans="1:6" x14ac:dyDescent="0.3">
      <c r="A68">
        <v>41</v>
      </c>
      <c r="B68">
        <v>47</v>
      </c>
      <c r="C68">
        <v>182363615.5</v>
      </c>
      <c r="D68">
        <v>0</v>
      </c>
      <c r="F68" t="str">
        <f t="shared" si="1"/>
        <v>41 47 182363615.5 0</v>
      </c>
    </row>
    <row r="69" spans="1:6" x14ac:dyDescent="0.3">
      <c r="A69">
        <v>49</v>
      </c>
      <c r="B69">
        <v>54</v>
      </c>
      <c r="C69">
        <v>897605.98300000001</v>
      </c>
      <c r="D69">
        <v>0</v>
      </c>
      <c r="F69" t="str">
        <f t="shared" si="1"/>
        <v>49 54 897605.983 0</v>
      </c>
    </row>
    <row r="70" spans="1:6" x14ac:dyDescent="0.3">
      <c r="A70">
        <v>39</v>
      </c>
      <c r="B70">
        <v>46</v>
      </c>
      <c r="C70">
        <v>776686156.20000005</v>
      </c>
      <c r="D70">
        <v>0</v>
      </c>
      <c r="F70" t="str">
        <f t="shared" si="1"/>
        <v>39 46 776686156.2 0</v>
      </c>
    </row>
    <row r="71" spans="1:6" x14ac:dyDescent="0.3">
      <c r="A71">
        <v>44</v>
      </c>
      <c r="B71">
        <v>50</v>
      </c>
      <c r="C71">
        <v>109418169.3</v>
      </c>
      <c r="D71">
        <v>0</v>
      </c>
      <c r="F71" t="str">
        <f t="shared" si="1"/>
        <v>44 50 109418169.3 0</v>
      </c>
    </row>
    <row r="72" spans="1:6" x14ac:dyDescent="0.3">
      <c r="A72">
        <v>51</v>
      </c>
      <c r="B72">
        <v>52</v>
      </c>
      <c r="C72">
        <v>33985441.590000004</v>
      </c>
      <c r="D72">
        <v>0</v>
      </c>
      <c r="F72" t="str">
        <f t="shared" si="1"/>
        <v>51 52 33985441.59 0</v>
      </c>
    </row>
    <row r="73" spans="1:6" x14ac:dyDescent="0.3">
      <c r="A73">
        <v>52</v>
      </c>
      <c r="B73">
        <v>53</v>
      </c>
      <c r="C73">
        <v>16565328.939999999</v>
      </c>
      <c r="D73">
        <v>0</v>
      </c>
      <c r="F73" t="str">
        <f t="shared" si="1"/>
        <v>52 53 16565328.94 0</v>
      </c>
    </row>
    <row r="74" spans="1:6" x14ac:dyDescent="0.3">
      <c r="A74">
        <v>53</v>
      </c>
      <c r="B74">
        <v>54</v>
      </c>
      <c r="C74">
        <v>18873681.940000001</v>
      </c>
      <c r="D74">
        <v>0</v>
      </c>
      <c r="F74" t="str">
        <f t="shared" si="1"/>
        <v>53 54 18873681.94 0</v>
      </c>
    </row>
    <row r="75" spans="1:6" x14ac:dyDescent="0.3">
      <c r="A75">
        <v>54</v>
      </c>
      <c r="B75">
        <v>56</v>
      </c>
      <c r="C75">
        <v>1557817.399</v>
      </c>
      <c r="D75">
        <v>0</v>
      </c>
      <c r="F75" t="str">
        <f t="shared" si="1"/>
        <v>54 56 1557817.399 0</v>
      </c>
    </row>
    <row r="76" spans="1:6" x14ac:dyDescent="0.3">
      <c r="A76">
        <v>55</v>
      </c>
      <c r="B76">
        <v>6</v>
      </c>
      <c r="C76">
        <v>3.5000000000000001E-3</v>
      </c>
      <c r="D76">
        <v>1</v>
      </c>
      <c r="F76" t="str">
        <f t="shared" si="1"/>
        <v>55 6 0.0035 1</v>
      </c>
    </row>
    <row r="77" spans="1:6" x14ac:dyDescent="0.3">
      <c r="A77">
        <v>55</v>
      </c>
      <c r="B77">
        <v>5</v>
      </c>
      <c r="C77">
        <v>3.0000000000000001E-3</v>
      </c>
      <c r="D77">
        <v>1</v>
      </c>
      <c r="F77" t="str">
        <f t="shared" si="1"/>
        <v>55 5 0.003 1</v>
      </c>
    </row>
    <row r="78" spans="1:6" x14ac:dyDescent="0.3">
      <c r="A78">
        <v>56</v>
      </c>
      <c r="B78">
        <v>50</v>
      </c>
      <c r="C78">
        <v>317610395.30000001</v>
      </c>
      <c r="D78">
        <v>0</v>
      </c>
      <c r="F78" t="str">
        <f t="shared" si="1"/>
        <v>56 50 317610395.3 0</v>
      </c>
    </row>
    <row r="79" spans="1:6" x14ac:dyDescent="0.3">
      <c r="A79">
        <v>56</v>
      </c>
      <c r="B79">
        <v>57</v>
      </c>
      <c r="C79">
        <v>1149507.5830000001</v>
      </c>
      <c r="D79">
        <v>0</v>
      </c>
      <c r="F79" t="str">
        <f t="shared" si="1"/>
        <v>56 57 1149507.583 0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673B-8731-443C-A0A0-0C3040F3D44B}">
  <dimension ref="A1:I25"/>
  <sheetViews>
    <sheetView workbookViewId="0">
      <selection activeCell="A2" sqref="A2:E4"/>
    </sheetView>
  </sheetViews>
  <sheetFormatPr defaultRowHeight="14.4" x14ac:dyDescent="0.3"/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>
        <v>49</v>
      </c>
      <c r="B2">
        <v>54</v>
      </c>
      <c r="C2">
        <v>1</v>
      </c>
      <c r="D2" s="5" t="s">
        <v>122</v>
      </c>
      <c r="E2" s="5" t="s">
        <v>31</v>
      </c>
    </row>
    <row r="3" spans="1:5" x14ac:dyDescent="0.3">
      <c r="A3">
        <v>54</v>
      </c>
      <c r="B3">
        <v>56</v>
      </c>
      <c r="C3">
        <v>1</v>
      </c>
      <c r="D3" s="5" t="s">
        <v>72</v>
      </c>
      <c r="E3" s="5" t="s">
        <v>36</v>
      </c>
    </row>
    <row r="4" spans="1:5" x14ac:dyDescent="0.3">
      <c r="A4">
        <v>56</v>
      </c>
      <c r="B4">
        <v>57</v>
      </c>
      <c r="C4">
        <v>1</v>
      </c>
      <c r="D4" s="5" t="s">
        <v>33</v>
      </c>
      <c r="E4" s="5" t="s">
        <v>80</v>
      </c>
    </row>
    <row r="5" spans="1:5" x14ac:dyDescent="0.3">
      <c r="E5" s="5"/>
    </row>
    <row r="6" spans="1:5" x14ac:dyDescent="0.3">
      <c r="E6" s="5"/>
    </row>
    <row r="8" spans="1:5" x14ac:dyDescent="0.3">
      <c r="E8" s="5"/>
    </row>
    <row r="9" spans="1:5" x14ac:dyDescent="0.3">
      <c r="D9" s="5"/>
      <c r="E9" s="5"/>
    </row>
    <row r="10" spans="1:5" x14ac:dyDescent="0.3">
      <c r="D10" s="5"/>
      <c r="E10" s="5"/>
    </row>
    <row r="11" spans="1:5" x14ac:dyDescent="0.3">
      <c r="D11" s="5"/>
      <c r="E11" s="5"/>
    </row>
    <row r="12" spans="1:5" x14ac:dyDescent="0.3">
      <c r="D12" s="5"/>
      <c r="E12" s="5"/>
    </row>
    <row r="13" spans="1:5" x14ac:dyDescent="0.3">
      <c r="E13" s="5"/>
    </row>
    <row r="14" spans="1:5" x14ac:dyDescent="0.3">
      <c r="E14" s="5"/>
    </row>
    <row r="15" spans="1:5" x14ac:dyDescent="0.3">
      <c r="D15" s="5"/>
      <c r="E15" s="5"/>
    </row>
    <row r="18" spans="9:9" x14ac:dyDescent="0.3">
      <c r="I18" t="s">
        <v>88</v>
      </c>
    </row>
    <row r="19" spans="9:9" x14ac:dyDescent="0.3">
      <c r="I19">
        <v>3</v>
      </c>
    </row>
    <row r="20" spans="9:9" x14ac:dyDescent="0.3">
      <c r="I20" t="s">
        <v>89</v>
      </c>
    </row>
    <row r="21" spans="9:9" x14ac:dyDescent="0.3">
      <c r="I21" t="s">
        <v>123</v>
      </c>
    </row>
    <row r="22" spans="9:9" x14ac:dyDescent="0.3">
      <c r="I22" t="s">
        <v>91</v>
      </c>
    </row>
    <row r="23" spans="9:9" x14ac:dyDescent="0.3">
      <c r="I23" t="s">
        <v>124</v>
      </c>
    </row>
    <row r="24" spans="9:9" x14ac:dyDescent="0.3">
      <c r="I24" t="s">
        <v>91</v>
      </c>
    </row>
    <row r="25" spans="9:9" x14ac:dyDescent="0.3">
      <c r="I25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F269-F630-4768-B4C7-1135A2F2A1BC}">
  <dimension ref="A1:F79"/>
  <sheetViews>
    <sheetView workbookViewId="0">
      <selection activeCell="D8" sqref="D8"/>
    </sheetView>
  </sheetViews>
  <sheetFormatPr defaultRowHeight="14.4" x14ac:dyDescent="0.3"/>
  <cols>
    <col min="3" max="3" width="27.109375" customWidth="1"/>
    <col min="6" max="6" width="37.77734375" customWidth="1"/>
    <col min="9" max="9" width="19.33203125" customWidth="1"/>
    <col min="10" max="10" width="18.33203125" customWidth="1"/>
  </cols>
  <sheetData>
    <row r="1" spans="1:6" x14ac:dyDescent="0.3">
      <c r="A1" s="8" t="s">
        <v>26</v>
      </c>
      <c r="B1" s="8" t="s">
        <v>27</v>
      </c>
      <c r="C1" s="8" t="s">
        <v>86</v>
      </c>
      <c r="D1" s="8" t="s">
        <v>87</v>
      </c>
    </row>
    <row r="2" spans="1:6" x14ac:dyDescent="0.3">
      <c r="A2">
        <v>4</v>
      </c>
      <c r="B2">
        <v>3</v>
      </c>
      <c r="C2">
        <v>115184776.59999999</v>
      </c>
      <c r="D2">
        <v>0</v>
      </c>
      <c r="F2" t="str">
        <f>CONCATENATE(A2," ",B2," ",C2," ", D2)</f>
        <v>4 3 115184776.6 0</v>
      </c>
    </row>
    <row r="3" spans="1:6" x14ac:dyDescent="0.3">
      <c r="A3">
        <v>2</v>
      </c>
      <c r="B3">
        <v>1</v>
      </c>
      <c r="C3">
        <v>66508752.579999998</v>
      </c>
      <c r="D3">
        <v>0</v>
      </c>
      <c r="F3" t="str">
        <f t="shared" ref="F3:F66" si="0">CONCATENATE(A3," ",B3," ",C3," ", D3)</f>
        <v>2 1 66508752.58 0</v>
      </c>
    </row>
    <row r="4" spans="1:6" x14ac:dyDescent="0.3">
      <c r="A4">
        <v>2</v>
      </c>
      <c r="B4">
        <v>55</v>
      </c>
      <c r="C4">
        <v>3.8E-3</v>
      </c>
      <c r="D4">
        <v>1</v>
      </c>
      <c r="F4" t="str">
        <f t="shared" si="0"/>
        <v>2 55 0.0038 1</v>
      </c>
    </row>
    <row r="5" spans="1:6" x14ac:dyDescent="0.3">
      <c r="A5">
        <v>1</v>
      </c>
      <c r="B5">
        <v>7</v>
      </c>
      <c r="C5">
        <v>45770204.409999996</v>
      </c>
      <c r="D5">
        <v>0</v>
      </c>
      <c r="F5" t="str">
        <f t="shared" si="0"/>
        <v>1 7 45770204.41 0</v>
      </c>
    </row>
    <row r="6" spans="1:6" x14ac:dyDescent="0.3">
      <c r="A6">
        <v>18</v>
      </c>
      <c r="B6">
        <v>19</v>
      </c>
      <c r="C6">
        <v>27384709.640000001</v>
      </c>
      <c r="D6">
        <v>0</v>
      </c>
      <c r="F6" t="str">
        <f t="shared" si="0"/>
        <v>18 19 27384709.64 0</v>
      </c>
    </row>
    <row r="7" spans="1:6" x14ac:dyDescent="0.3">
      <c r="A7">
        <v>5</v>
      </c>
      <c r="B7">
        <v>8</v>
      </c>
      <c r="C7">
        <v>3.0000000000000001E-3</v>
      </c>
      <c r="D7">
        <v>1</v>
      </c>
      <c r="F7" t="str">
        <f t="shared" si="0"/>
        <v>5 8 0.003 1</v>
      </c>
    </row>
    <row r="8" spans="1:6" x14ac:dyDescent="0.3">
      <c r="A8">
        <v>6</v>
      </c>
      <c r="B8">
        <v>11</v>
      </c>
      <c r="C8">
        <v>109418224.40000001</v>
      </c>
      <c r="D8">
        <v>0</v>
      </c>
      <c r="F8" t="str">
        <f t="shared" si="0"/>
        <v>6 11 109418224.4 0</v>
      </c>
    </row>
    <row r="9" spans="1:6" x14ac:dyDescent="0.3">
      <c r="A9">
        <v>7</v>
      </c>
      <c r="B9">
        <v>8</v>
      </c>
      <c r="C9">
        <v>19036645</v>
      </c>
      <c r="D9">
        <v>0</v>
      </c>
      <c r="F9" t="str">
        <f t="shared" si="0"/>
        <v>7 8 19036645 0</v>
      </c>
    </row>
    <row r="10" spans="1:6" x14ac:dyDescent="0.3">
      <c r="A10">
        <v>8</v>
      </c>
      <c r="B10">
        <v>9</v>
      </c>
      <c r="C10">
        <v>15989381.949999999</v>
      </c>
      <c r="D10">
        <v>0</v>
      </c>
      <c r="F10" t="str">
        <f t="shared" si="0"/>
        <v>8 9 15989381.95 0</v>
      </c>
    </row>
    <row r="11" spans="1:6" x14ac:dyDescent="0.3">
      <c r="A11">
        <v>9</v>
      </c>
      <c r="B11">
        <v>15</v>
      </c>
      <c r="C11">
        <v>10958972.85</v>
      </c>
      <c r="D11">
        <v>0</v>
      </c>
      <c r="F11" t="str">
        <f t="shared" si="0"/>
        <v>9 15 10958972.85 0</v>
      </c>
    </row>
    <row r="12" spans="1:6" x14ac:dyDescent="0.3">
      <c r="A12">
        <v>10</v>
      </c>
      <c r="B12">
        <v>11</v>
      </c>
      <c r="C12">
        <v>106275597.40000001</v>
      </c>
      <c r="D12">
        <v>0</v>
      </c>
      <c r="F12" t="str">
        <f t="shared" si="0"/>
        <v>10 11 106275597.4 0</v>
      </c>
    </row>
    <row r="13" spans="1:6" x14ac:dyDescent="0.3">
      <c r="A13">
        <v>10</v>
      </c>
      <c r="B13">
        <v>55</v>
      </c>
      <c r="C13">
        <v>3.0000000000000001E-3</v>
      </c>
      <c r="D13">
        <v>1</v>
      </c>
      <c r="F13" t="str">
        <f t="shared" si="0"/>
        <v>10 55 0.003 1</v>
      </c>
    </row>
    <row r="14" spans="1:6" x14ac:dyDescent="0.3">
      <c r="A14">
        <v>3</v>
      </c>
      <c r="B14">
        <v>2</v>
      </c>
      <c r="C14">
        <v>56513721.770000003</v>
      </c>
      <c r="D14">
        <v>0</v>
      </c>
      <c r="F14" t="str">
        <f t="shared" si="0"/>
        <v>3 2 56513721.77 0</v>
      </c>
    </row>
    <row r="15" spans="1:6" x14ac:dyDescent="0.3">
      <c r="A15">
        <v>11</v>
      </c>
      <c r="B15">
        <v>17</v>
      </c>
      <c r="C15">
        <v>9152623.8900000006</v>
      </c>
      <c r="D15">
        <v>0</v>
      </c>
      <c r="F15" t="str">
        <f t="shared" si="0"/>
        <v>11 17 9152623.89 0</v>
      </c>
    </row>
    <row r="16" spans="1:6" x14ac:dyDescent="0.3">
      <c r="A16">
        <v>12</v>
      </c>
      <c r="B16">
        <v>11</v>
      </c>
      <c r="C16">
        <v>68386356.290000007</v>
      </c>
      <c r="D16">
        <v>0</v>
      </c>
      <c r="F16" t="str">
        <f t="shared" si="0"/>
        <v>12 11 68386356.29 0</v>
      </c>
    </row>
    <row r="17" spans="1:6" x14ac:dyDescent="0.3">
      <c r="A17">
        <v>13</v>
      </c>
      <c r="B17">
        <v>7</v>
      </c>
      <c r="C17">
        <v>156311725.69999999</v>
      </c>
      <c r="D17">
        <v>0</v>
      </c>
      <c r="F17" t="str">
        <f t="shared" si="0"/>
        <v>13 7 156311725.7 0</v>
      </c>
    </row>
    <row r="18" spans="1:6" x14ac:dyDescent="0.3">
      <c r="A18">
        <v>13</v>
      </c>
      <c r="B18">
        <v>18</v>
      </c>
      <c r="C18">
        <v>156311725.19999999</v>
      </c>
      <c r="D18">
        <v>0</v>
      </c>
      <c r="F18" t="str">
        <f t="shared" si="0"/>
        <v>13 18 156311725.2 0</v>
      </c>
    </row>
    <row r="19" spans="1:6" x14ac:dyDescent="0.3">
      <c r="A19">
        <v>14</v>
      </c>
      <c r="B19">
        <v>8</v>
      </c>
      <c r="C19">
        <v>136772766.40000001</v>
      </c>
      <c r="D19">
        <v>0</v>
      </c>
      <c r="F19" t="str">
        <f t="shared" si="0"/>
        <v>14 8 136772766.4 0</v>
      </c>
    </row>
    <row r="20" spans="1:6" x14ac:dyDescent="0.3">
      <c r="A20">
        <v>14</v>
      </c>
      <c r="B20">
        <v>19</v>
      </c>
      <c r="C20">
        <v>136772766.40000001</v>
      </c>
      <c r="D20">
        <v>0</v>
      </c>
      <c r="F20" t="str">
        <f t="shared" si="0"/>
        <v>14 19 136772766.4 0</v>
      </c>
    </row>
    <row r="21" spans="1:6" x14ac:dyDescent="0.3">
      <c r="A21">
        <v>15</v>
      </c>
      <c r="B21">
        <v>20</v>
      </c>
      <c r="C21">
        <v>11323916.470000001</v>
      </c>
      <c r="D21">
        <v>0</v>
      </c>
      <c r="F21" t="str">
        <f t="shared" si="0"/>
        <v>15 20 11323916.47 0</v>
      </c>
    </row>
    <row r="22" spans="1:6" x14ac:dyDescent="0.3">
      <c r="A22">
        <v>16</v>
      </c>
      <c r="B22">
        <v>10</v>
      </c>
      <c r="C22">
        <v>3.0000000000000001E-3</v>
      </c>
      <c r="D22">
        <v>1</v>
      </c>
      <c r="F22" t="str">
        <f t="shared" si="0"/>
        <v>16 10 0.003 1</v>
      </c>
    </row>
    <row r="23" spans="1:6" x14ac:dyDescent="0.3">
      <c r="A23">
        <v>19</v>
      </c>
      <c r="B23">
        <v>20</v>
      </c>
      <c r="C23">
        <v>20421010.260000002</v>
      </c>
      <c r="D23">
        <v>0</v>
      </c>
      <c r="F23" t="str">
        <f t="shared" si="0"/>
        <v>19 20 20421010.26 0</v>
      </c>
    </row>
    <row r="24" spans="1:6" x14ac:dyDescent="0.3">
      <c r="A24">
        <v>17</v>
      </c>
      <c r="B24">
        <v>22</v>
      </c>
      <c r="C24">
        <v>7668414.6310000001</v>
      </c>
      <c r="D24">
        <v>0</v>
      </c>
      <c r="F24" t="str">
        <f t="shared" si="0"/>
        <v>17 22 7668414.631 0</v>
      </c>
    </row>
    <row r="25" spans="1:6" x14ac:dyDescent="0.3">
      <c r="A25">
        <v>25</v>
      </c>
      <c r="B25">
        <v>18</v>
      </c>
      <c r="C25">
        <v>48124155.25</v>
      </c>
      <c r="D25">
        <v>0</v>
      </c>
      <c r="F25" t="str">
        <f t="shared" si="0"/>
        <v>25 18 48124155.25 0</v>
      </c>
    </row>
    <row r="26" spans="1:6" x14ac:dyDescent="0.3">
      <c r="A26">
        <v>10</v>
      </c>
      <c r="B26">
        <v>9</v>
      </c>
      <c r="C26">
        <v>3.0000000000000001E-3</v>
      </c>
      <c r="D26">
        <v>1</v>
      </c>
      <c r="F26" t="str">
        <f t="shared" si="0"/>
        <v>10 9 0.003 1</v>
      </c>
    </row>
    <row r="27" spans="1:6" x14ac:dyDescent="0.3">
      <c r="A27">
        <v>26</v>
      </c>
      <c r="B27">
        <v>19</v>
      </c>
      <c r="C27">
        <v>547090901.39999998</v>
      </c>
      <c r="D27">
        <v>0</v>
      </c>
      <c r="F27" t="str">
        <f t="shared" si="0"/>
        <v>26 19 547090901.4 0</v>
      </c>
    </row>
    <row r="28" spans="1:6" x14ac:dyDescent="0.3">
      <c r="A28">
        <v>20</v>
      </c>
      <c r="B28">
        <v>27</v>
      </c>
      <c r="C28">
        <v>5881164.9589999998</v>
      </c>
      <c r="D28">
        <v>0</v>
      </c>
      <c r="F28" t="str">
        <f t="shared" si="0"/>
        <v>20 27 5881164.959 0</v>
      </c>
    </row>
    <row r="29" spans="1:6" x14ac:dyDescent="0.3">
      <c r="A29">
        <v>21</v>
      </c>
      <c r="B29">
        <v>20</v>
      </c>
      <c r="C29">
        <v>21041955.640000001</v>
      </c>
      <c r="D29">
        <v>0</v>
      </c>
      <c r="F29" t="str">
        <f t="shared" si="0"/>
        <v>21 20 21041955.64 0</v>
      </c>
    </row>
    <row r="30" spans="1:6" x14ac:dyDescent="0.3">
      <c r="A30">
        <v>28</v>
      </c>
      <c r="B30">
        <v>21</v>
      </c>
      <c r="C30">
        <v>273545423.30000001</v>
      </c>
      <c r="D30">
        <v>0</v>
      </c>
      <c r="F30" t="str">
        <f t="shared" si="0"/>
        <v>28 21 273545423.3 0</v>
      </c>
    </row>
    <row r="31" spans="1:6" x14ac:dyDescent="0.3">
      <c r="A31">
        <v>22</v>
      </c>
      <c r="B31">
        <v>23</v>
      </c>
      <c r="C31">
        <v>4999671.2319999998</v>
      </c>
      <c r="D31">
        <v>0</v>
      </c>
      <c r="F31" t="str">
        <f t="shared" si="0"/>
        <v>22 23 4999671.232 0</v>
      </c>
    </row>
    <row r="32" spans="1:6" x14ac:dyDescent="0.3">
      <c r="A32">
        <v>16</v>
      </c>
      <c r="B32">
        <v>21</v>
      </c>
      <c r="C32">
        <v>118083996.8</v>
      </c>
      <c r="D32">
        <v>0</v>
      </c>
      <c r="F32" t="str">
        <f t="shared" si="0"/>
        <v>16 21 118083996.8 0</v>
      </c>
    </row>
    <row r="33" spans="1:6" x14ac:dyDescent="0.3">
      <c r="A33">
        <v>23</v>
      </c>
      <c r="B33">
        <v>35</v>
      </c>
      <c r="C33">
        <v>7442633.267</v>
      </c>
      <c r="D33">
        <v>0</v>
      </c>
      <c r="F33" t="str">
        <f t="shared" si="0"/>
        <v>23 35 7442633.267 0</v>
      </c>
    </row>
    <row r="34" spans="1:6" x14ac:dyDescent="0.3">
      <c r="A34">
        <v>21</v>
      </c>
      <c r="B34">
        <v>22</v>
      </c>
      <c r="C34">
        <v>87301954.140000001</v>
      </c>
      <c r="D34">
        <v>0</v>
      </c>
      <c r="F34" t="str">
        <f t="shared" si="0"/>
        <v>21 22 87301954.14 0</v>
      </c>
    </row>
    <row r="35" spans="1:6" x14ac:dyDescent="0.3">
      <c r="A35">
        <v>33</v>
      </c>
      <c r="B35">
        <v>32</v>
      </c>
      <c r="C35">
        <v>29157931.260000002</v>
      </c>
      <c r="D35">
        <v>0</v>
      </c>
      <c r="F35" t="str">
        <f t="shared" si="0"/>
        <v>33 32 29157931.26 0</v>
      </c>
    </row>
    <row r="36" spans="1:6" x14ac:dyDescent="0.3">
      <c r="A36">
        <v>30</v>
      </c>
      <c r="B36">
        <v>25</v>
      </c>
      <c r="C36">
        <v>102493260.3</v>
      </c>
      <c r="D36">
        <v>0</v>
      </c>
      <c r="F36" t="str">
        <f t="shared" si="0"/>
        <v>30 25 102493260.3 0</v>
      </c>
    </row>
    <row r="37" spans="1:6" x14ac:dyDescent="0.3">
      <c r="A37">
        <v>49</v>
      </c>
      <c r="B37">
        <v>50</v>
      </c>
      <c r="C37">
        <v>3.0000000000000001E-3</v>
      </c>
      <c r="D37">
        <v>1</v>
      </c>
      <c r="F37" t="str">
        <f t="shared" si="0"/>
        <v>49 50 0.003 1</v>
      </c>
    </row>
    <row r="38" spans="1:6" x14ac:dyDescent="0.3">
      <c r="A38">
        <v>27</v>
      </c>
      <c r="B38">
        <v>32</v>
      </c>
      <c r="C38">
        <v>5483938.023</v>
      </c>
      <c r="D38">
        <v>0</v>
      </c>
      <c r="F38" t="str">
        <f t="shared" si="0"/>
        <v>27 32 5483938.023 0</v>
      </c>
    </row>
    <row r="39" spans="1:6" x14ac:dyDescent="0.3">
      <c r="A39">
        <v>28</v>
      </c>
      <c r="B39">
        <v>33</v>
      </c>
      <c r="C39">
        <v>88562997.609999999</v>
      </c>
      <c r="D39">
        <v>0</v>
      </c>
      <c r="F39" t="str">
        <f t="shared" si="0"/>
        <v>28 33 88562997.61 0</v>
      </c>
    </row>
    <row r="40" spans="1:6" x14ac:dyDescent="0.3">
      <c r="A40">
        <v>29</v>
      </c>
      <c r="B40">
        <v>34</v>
      </c>
      <c r="C40">
        <v>177126048.40000001</v>
      </c>
      <c r="D40">
        <v>0</v>
      </c>
      <c r="F40" t="str">
        <f t="shared" si="0"/>
        <v>29 34 177126048.4 0</v>
      </c>
    </row>
    <row r="41" spans="1:6" x14ac:dyDescent="0.3">
      <c r="A41">
        <v>29</v>
      </c>
      <c r="B41">
        <v>22</v>
      </c>
      <c r="C41">
        <v>182363670.30000001</v>
      </c>
      <c r="D41">
        <v>0</v>
      </c>
      <c r="F41" t="str">
        <f t="shared" si="0"/>
        <v>29 22 182363670.3 0</v>
      </c>
    </row>
    <row r="42" spans="1:6" x14ac:dyDescent="0.3">
      <c r="A42">
        <v>31</v>
      </c>
      <c r="B42">
        <v>30</v>
      </c>
      <c r="C42">
        <v>390684898.89999998</v>
      </c>
      <c r="D42">
        <v>0</v>
      </c>
      <c r="F42" t="str">
        <f t="shared" si="0"/>
        <v>31 30 390684898.9 0</v>
      </c>
    </row>
    <row r="43" spans="1:6" x14ac:dyDescent="0.3">
      <c r="A43">
        <v>31</v>
      </c>
      <c r="B43">
        <v>32</v>
      </c>
      <c r="C43">
        <v>273545423.30000001</v>
      </c>
      <c r="D43">
        <v>0</v>
      </c>
      <c r="F43" t="str">
        <f t="shared" si="0"/>
        <v>31 32 273545423.3 0</v>
      </c>
    </row>
    <row r="44" spans="1:6" x14ac:dyDescent="0.3">
      <c r="A44">
        <v>39</v>
      </c>
      <c r="B44">
        <v>31</v>
      </c>
      <c r="C44">
        <v>1153609076</v>
      </c>
      <c r="D44">
        <v>0</v>
      </c>
      <c r="F44" t="str">
        <f t="shared" si="0"/>
        <v>39 31 1153609076 0</v>
      </c>
    </row>
    <row r="45" spans="1:6" x14ac:dyDescent="0.3">
      <c r="A45">
        <v>26</v>
      </c>
      <c r="B45">
        <v>31</v>
      </c>
      <c r="C45">
        <v>531378038.80000001</v>
      </c>
      <c r="D45">
        <v>0</v>
      </c>
      <c r="F45" t="str">
        <f t="shared" si="0"/>
        <v>26 31 531378038.8 0</v>
      </c>
    </row>
    <row r="46" spans="1:6" x14ac:dyDescent="0.3">
      <c r="A46">
        <v>32</v>
      </c>
      <c r="B46">
        <v>40</v>
      </c>
      <c r="C46">
        <v>10008711.369999999</v>
      </c>
      <c r="D46">
        <v>0</v>
      </c>
      <c r="F46" t="str">
        <f t="shared" si="0"/>
        <v>32 40 10008711.37 0</v>
      </c>
    </row>
    <row r="47" spans="1:6" x14ac:dyDescent="0.3">
      <c r="A47">
        <v>37</v>
      </c>
      <c r="B47">
        <v>34</v>
      </c>
      <c r="C47">
        <v>88562997.810000002</v>
      </c>
      <c r="D47">
        <v>0</v>
      </c>
      <c r="F47" t="str">
        <f t="shared" si="0"/>
        <v>37 34 88562997.81 0</v>
      </c>
    </row>
    <row r="48" spans="1:6" x14ac:dyDescent="0.3">
      <c r="A48">
        <v>34</v>
      </c>
      <c r="B48">
        <v>33</v>
      </c>
      <c r="C48">
        <v>106275597.09999999</v>
      </c>
      <c r="D48">
        <v>0</v>
      </c>
      <c r="F48" t="str">
        <f t="shared" si="0"/>
        <v>34 33 106275597.1 0</v>
      </c>
    </row>
    <row r="49" spans="1:6" x14ac:dyDescent="0.3">
      <c r="A49">
        <v>48</v>
      </c>
      <c r="B49">
        <v>42</v>
      </c>
      <c r="C49">
        <v>136772821.09999999</v>
      </c>
      <c r="D49">
        <v>0</v>
      </c>
      <c r="F49" t="str">
        <f t="shared" si="0"/>
        <v>48 42 136772821.1 0</v>
      </c>
    </row>
    <row r="50" spans="1:6" x14ac:dyDescent="0.3">
      <c r="A50">
        <v>34</v>
      </c>
      <c r="B50">
        <v>35</v>
      </c>
      <c r="C50">
        <v>22140750.23</v>
      </c>
      <c r="D50">
        <v>0</v>
      </c>
      <c r="F50" t="str">
        <f t="shared" si="0"/>
        <v>34 35 22140750.23 0</v>
      </c>
    </row>
    <row r="51" spans="1:6" x14ac:dyDescent="0.3">
      <c r="A51">
        <v>35</v>
      </c>
      <c r="B51">
        <v>43</v>
      </c>
      <c r="C51">
        <v>6664939.3799999999</v>
      </c>
      <c r="D51">
        <v>0</v>
      </c>
      <c r="F51" t="str">
        <f t="shared" si="0"/>
        <v>35 43 6664939.38 0</v>
      </c>
    </row>
    <row r="52" spans="1:6" x14ac:dyDescent="0.3">
      <c r="A52">
        <v>36</v>
      </c>
      <c r="B52">
        <v>35</v>
      </c>
      <c r="C52">
        <v>28794255.09</v>
      </c>
      <c r="D52">
        <v>0</v>
      </c>
      <c r="F52" t="str">
        <f t="shared" si="0"/>
        <v>36 35 28794255.09 0</v>
      </c>
    </row>
    <row r="53" spans="1:6" x14ac:dyDescent="0.3">
      <c r="A53">
        <v>44</v>
      </c>
      <c r="B53">
        <v>36</v>
      </c>
      <c r="C53">
        <v>3.0000000000000001E-3</v>
      </c>
      <c r="D53">
        <v>1</v>
      </c>
      <c r="F53" t="str">
        <f t="shared" si="0"/>
        <v>44 36 0.003 1</v>
      </c>
    </row>
    <row r="54" spans="1:6" x14ac:dyDescent="0.3">
      <c r="A54">
        <v>38</v>
      </c>
      <c r="B54">
        <v>45</v>
      </c>
      <c r="C54">
        <v>131126295.7</v>
      </c>
      <c r="D54">
        <v>0</v>
      </c>
      <c r="F54" t="str">
        <f t="shared" si="0"/>
        <v>38 45 131126295.7 0</v>
      </c>
    </row>
    <row r="55" spans="1:6" x14ac:dyDescent="0.3">
      <c r="A55">
        <v>39</v>
      </c>
      <c r="B55">
        <v>40</v>
      </c>
      <c r="C55">
        <v>531377985.69999999</v>
      </c>
      <c r="D55">
        <v>0</v>
      </c>
      <c r="F55" t="str">
        <f t="shared" si="0"/>
        <v>39 40 531377985.7 0</v>
      </c>
    </row>
    <row r="56" spans="1:6" x14ac:dyDescent="0.3">
      <c r="A56">
        <v>39</v>
      </c>
      <c r="B56">
        <v>38</v>
      </c>
      <c r="C56">
        <v>547090846.60000002</v>
      </c>
      <c r="D56">
        <v>0</v>
      </c>
      <c r="F56" t="str">
        <f t="shared" si="0"/>
        <v>39 38 547090846.6 0</v>
      </c>
    </row>
    <row r="57" spans="1:6" x14ac:dyDescent="0.3">
      <c r="A57">
        <v>40</v>
      </c>
      <c r="B57">
        <v>41</v>
      </c>
      <c r="C57">
        <v>5103826.4649999999</v>
      </c>
      <c r="D57">
        <v>0</v>
      </c>
      <c r="F57" t="str">
        <f t="shared" si="0"/>
        <v>40 41 5103826.465 0</v>
      </c>
    </row>
    <row r="58" spans="1:6" x14ac:dyDescent="0.3">
      <c r="A58">
        <v>42</v>
      </c>
      <c r="B58">
        <v>41</v>
      </c>
      <c r="C58">
        <v>3768088.6949999998</v>
      </c>
      <c r="D58">
        <v>0</v>
      </c>
      <c r="F58" t="str">
        <f t="shared" si="0"/>
        <v>42 41 3768088.695 0</v>
      </c>
    </row>
    <row r="59" spans="1:6" x14ac:dyDescent="0.3">
      <c r="A59">
        <v>44</v>
      </c>
      <c r="B59">
        <v>43</v>
      </c>
      <c r="C59">
        <v>72945446.219999999</v>
      </c>
      <c r="D59">
        <v>0</v>
      </c>
      <c r="F59" t="str">
        <f t="shared" si="0"/>
        <v>44 43 72945446.22 0</v>
      </c>
    </row>
    <row r="60" spans="1:6" x14ac:dyDescent="0.3">
      <c r="A60">
        <v>43</v>
      </c>
      <c r="B60">
        <v>42</v>
      </c>
      <c r="C60">
        <v>3907514.9530000002</v>
      </c>
      <c r="D60">
        <v>0</v>
      </c>
      <c r="F60" t="str">
        <f t="shared" si="0"/>
        <v>43 42 3907514.953 0</v>
      </c>
    </row>
    <row r="61" spans="1:6" x14ac:dyDescent="0.3">
      <c r="A61">
        <v>43</v>
      </c>
      <c r="B61">
        <v>49</v>
      </c>
      <c r="C61">
        <v>1.5E-3</v>
      </c>
      <c r="D61">
        <v>1</v>
      </c>
      <c r="F61" t="str">
        <f t="shared" si="0"/>
        <v>43 49 0.0015 1</v>
      </c>
    </row>
    <row r="62" spans="1:6" x14ac:dyDescent="0.3">
      <c r="A62">
        <v>23</v>
      </c>
      <c r="B62">
        <v>24</v>
      </c>
      <c r="C62">
        <v>3.0000000000000001E-3</v>
      </c>
      <c r="D62">
        <v>1</v>
      </c>
      <c r="F62" t="str">
        <f t="shared" si="0"/>
        <v>23 24 0.003 1</v>
      </c>
    </row>
    <row r="63" spans="1:6" x14ac:dyDescent="0.3">
      <c r="A63">
        <v>24</v>
      </c>
      <c r="B63">
        <v>36</v>
      </c>
      <c r="C63">
        <v>3.0000000000000001E-3</v>
      </c>
      <c r="D63">
        <v>1</v>
      </c>
      <c r="F63" t="str">
        <f t="shared" si="0"/>
        <v>24 36 0.003 1</v>
      </c>
    </row>
    <row r="64" spans="1:6" x14ac:dyDescent="0.3">
      <c r="A64">
        <v>45</v>
      </c>
      <c r="B64">
        <v>51</v>
      </c>
      <c r="C64">
        <v>59942661.950000003</v>
      </c>
      <c r="D64">
        <v>0</v>
      </c>
      <c r="F64" t="str">
        <f t="shared" si="0"/>
        <v>45 51 59942661.95 0</v>
      </c>
    </row>
    <row r="65" spans="1:6" x14ac:dyDescent="0.3">
      <c r="A65">
        <v>48</v>
      </c>
      <c r="B65">
        <v>47</v>
      </c>
      <c r="C65">
        <v>136772711.69999999</v>
      </c>
      <c r="D65">
        <v>0</v>
      </c>
      <c r="F65" t="str">
        <f t="shared" si="0"/>
        <v>48 47 136772711.7 0</v>
      </c>
    </row>
    <row r="66" spans="1:6" x14ac:dyDescent="0.3">
      <c r="A66">
        <v>47</v>
      </c>
      <c r="B66">
        <v>52</v>
      </c>
      <c r="C66">
        <v>29283724.309999999</v>
      </c>
      <c r="D66">
        <v>0</v>
      </c>
      <c r="F66" t="str">
        <f t="shared" si="0"/>
        <v>47 52 29283724.31 0</v>
      </c>
    </row>
    <row r="67" spans="1:6" x14ac:dyDescent="0.3">
      <c r="A67">
        <v>46</v>
      </c>
      <c r="B67">
        <v>47</v>
      </c>
      <c r="C67">
        <v>111624159.2</v>
      </c>
      <c r="D67">
        <v>0</v>
      </c>
      <c r="F67" t="str">
        <f t="shared" ref="F67:F79" si="1">CONCATENATE(A67," ",B67," ",C67," ", D67)</f>
        <v>46 47 111624159.2 0</v>
      </c>
    </row>
    <row r="68" spans="1:6" x14ac:dyDescent="0.3">
      <c r="A68">
        <v>41</v>
      </c>
      <c r="B68">
        <v>47</v>
      </c>
      <c r="C68">
        <v>182363615.5</v>
      </c>
      <c r="D68">
        <v>0</v>
      </c>
      <c r="F68" t="str">
        <f t="shared" si="1"/>
        <v>41 47 182363615.5 0</v>
      </c>
    </row>
    <row r="69" spans="1:6" x14ac:dyDescent="0.3">
      <c r="A69">
        <v>49</v>
      </c>
      <c r="B69">
        <v>54</v>
      </c>
      <c r="C69">
        <v>897605.98301815894</v>
      </c>
      <c r="D69">
        <v>0</v>
      </c>
      <c r="F69" t="str">
        <f t="shared" si="1"/>
        <v>49 54 897605.983018159 0</v>
      </c>
    </row>
    <row r="70" spans="1:6" x14ac:dyDescent="0.3">
      <c r="A70">
        <v>39</v>
      </c>
      <c r="B70">
        <v>46</v>
      </c>
      <c r="C70">
        <v>776686156.20000005</v>
      </c>
      <c r="D70">
        <v>0</v>
      </c>
      <c r="F70" t="str">
        <f t="shared" si="1"/>
        <v>39 46 776686156.2 0</v>
      </c>
    </row>
    <row r="71" spans="1:6" x14ac:dyDescent="0.3">
      <c r="A71">
        <v>44</v>
      </c>
      <c r="B71">
        <v>50</v>
      </c>
      <c r="C71">
        <v>109418169.3</v>
      </c>
      <c r="D71">
        <v>0</v>
      </c>
      <c r="F71" t="str">
        <f t="shared" si="1"/>
        <v>44 50 109418169.3 0</v>
      </c>
    </row>
    <row r="72" spans="1:6" x14ac:dyDescent="0.3">
      <c r="A72">
        <v>51</v>
      </c>
      <c r="B72">
        <v>52</v>
      </c>
      <c r="C72">
        <v>33985441.590000004</v>
      </c>
      <c r="D72">
        <v>0</v>
      </c>
      <c r="F72" t="str">
        <f t="shared" si="1"/>
        <v>51 52 33985441.59 0</v>
      </c>
    </row>
    <row r="73" spans="1:6" x14ac:dyDescent="0.3">
      <c r="A73">
        <v>52</v>
      </c>
      <c r="B73">
        <v>53</v>
      </c>
      <c r="C73">
        <v>16565328.939999999</v>
      </c>
      <c r="D73">
        <v>0</v>
      </c>
      <c r="F73" t="str">
        <f t="shared" si="1"/>
        <v>52 53 16565328.94 0</v>
      </c>
    </row>
    <row r="74" spans="1:6" x14ac:dyDescent="0.3">
      <c r="A74">
        <v>53</v>
      </c>
      <c r="B74">
        <v>54</v>
      </c>
      <c r="C74">
        <v>18873681.940000001</v>
      </c>
      <c r="D74">
        <v>0</v>
      </c>
      <c r="F74" t="str">
        <f t="shared" si="1"/>
        <v>53 54 18873681.94 0</v>
      </c>
    </row>
    <row r="75" spans="1:6" x14ac:dyDescent="0.3">
      <c r="A75">
        <v>54</v>
      </c>
      <c r="B75">
        <v>56</v>
      </c>
      <c r="C75">
        <v>1557817.3992977811</v>
      </c>
      <c r="D75">
        <v>0</v>
      </c>
      <c r="F75" t="str">
        <f t="shared" si="1"/>
        <v>54 56 1557817.39929778 0</v>
      </c>
    </row>
    <row r="76" spans="1:6" x14ac:dyDescent="0.3">
      <c r="A76">
        <v>55</v>
      </c>
      <c r="B76">
        <v>6</v>
      </c>
      <c r="C76">
        <v>3.5000000000000001E-3</v>
      </c>
      <c r="D76">
        <v>1</v>
      </c>
      <c r="F76" t="str">
        <f t="shared" si="1"/>
        <v>55 6 0.0035 1</v>
      </c>
    </row>
    <row r="77" spans="1:6" x14ac:dyDescent="0.3">
      <c r="A77">
        <v>55</v>
      </c>
      <c r="B77">
        <v>5</v>
      </c>
      <c r="C77">
        <v>3.0000000000000001E-3</v>
      </c>
      <c r="D77">
        <v>1</v>
      </c>
      <c r="F77" t="str">
        <f t="shared" si="1"/>
        <v>55 5 0.003 1</v>
      </c>
    </row>
    <row r="78" spans="1:6" x14ac:dyDescent="0.3">
      <c r="A78">
        <v>56</v>
      </c>
      <c r="B78">
        <v>50</v>
      </c>
      <c r="C78">
        <v>317610395.30000001</v>
      </c>
      <c r="D78">
        <v>0</v>
      </c>
      <c r="F78" t="str">
        <f t="shared" si="1"/>
        <v>56 50 317610395.3 0</v>
      </c>
    </row>
    <row r="79" spans="1:6" x14ac:dyDescent="0.3">
      <c r="A79">
        <v>56</v>
      </c>
      <c r="B79">
        <v>57</v>
      </c>
      <c r="C79">
        <v>1149507.583325614</v>
      </c>
      <c r="D79">
        <v>0</v>
      </c>
      <c r="F79" t="str">
        <f t="shared" si="1"/>
        <v>56 57 1149507.58332561 0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6BE7-196C-4D97-BF16-2B212A4C12AC}">
  <dimension ref="A1"/>
  <sheetViews>
    <sheetView workbookViewId="0">
      <selection activeCell="M30" sqref="M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</vt:lpstr>
      <vt:lpstr>Result_hydraulic_1</vt:lpstr>
      <vt:lpstr>Input_Iter2</vt:lpstr>
      <vt:lpstr>Result_hydraulic_2</vt:lpstr>
      <vt:lpstr>Input_Iter3</vt:lpstr>
      <vt:lpstr>Result_hydraulic_3</vt:lpstr>
      <vt:lpstr>Input_Iter4</vt:lpstr>
      <vt:lpstr>Result_hydraulic_4</vt:lpstr>
      <vt:lpstr>Input_Iter5</vt:lpstr>
      <vt:lpstr>Result_hydraulic_5</vt:lpstr>
      <vt:lpstr>Input_Iter6</vt:lpstr>
      <vt:lpstr>Result_hydraulic_6</vt:lpstr>
      <vt:lpstr>Input_Iter7</vt:lpstr>
      <vt:lpstr>Result_hydraulic_7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</cp:lastModifiedBy>
  <dcterms:created xsi:type="dcterms:W3CDTF">2024-08-28T07:54:42Z</dcterms:created>
  <dcterms:modified xsi:type="dcterms:W3CDTF">2025-05-27T06:01:05Z</dcterms:modified>
</cp:coreProperties>
</file>